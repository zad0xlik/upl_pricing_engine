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kolyadin/Desktop/irr/git/"/>
    </mc:Choice>
  </mc:AlternateContent>
  <bookViews>
    <workbookView xWindow="1400" yWindow="700" windowWidth="35380" windowHeight="18840" tabRatio="500"/>
  </bookViews>
  <sheets>
    <sheet name="Main" sheetId="4" r:id="rId1"/>
    <sheet name="data rates" sheetId="2" r:id="rId2"/>
    <sheet name="data estimates" sheetId="3" r:id="rId3"/>
    <sheet name="Portfolio" sheetId="1" r:id="rId4"/>
  </sheets>
  <definedNames>
    <definedName name="_xlnm._FilterDatabase" localSheetId="2" hidden="1">'data estimates'!$A$1:$E$517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19" i="3" l="1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D9" i="2"/>
  <c r="D10" i="2"/>
  <c r="D11" i="2"/>
  <c r="D12" i="2"/>
  <c r="D13" i="2"/>
  <c r="D8" i="2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Z3" i="4"/>
  <c r="Y3" i="4"/>
  <c r="X3" i="4"/>
  <c r="Z8" i="4"/>
  <c r="Y8" i="4"/>
  <c r="Z7" i="4"/>
  <c r="Y7" i="4"/>
  <c r="Z6" i="4"/>
  <c r="Y6" i="4"/>
  <c r="Z5" i="4"/>
  <c r="Y5" i="4"/>
  <c r="Z4" i="4"/>
  <c r="Y4" i="4"/>
  <c r="X5" i="4"/>
  <c r="X6" i="4"/>
  <c r="X7" i="4"/>
  <c r="X8" i="4"/>
  <c r="X4" i="4"/>
</calcChain>
</file>

<file path=xl/sharedStrings.xml><?xml version="1.0" encoding="utf-8"?>
<sst xmlns="http://schemas.openxmlformats.org/spreadsheetml/2006/main" count="726" uniqueCount="119">
  <si>
    <t>PRODUCT</t>
  </si>
  <si>
    <t>TERM</t>
  </si>
  <si>
    <t>GRADE</t>
  </si>
  <si>
    <t>INTEREST RATE</t>
  </si>
  <si>
    <t>VOLUME</t>
  </si>
  <si>
    <t>LOSS MULTIPLIER</t>
  </si>
  <si>
    <t>PREPAY MULTIPLIER</t>
  </si>
  <si>
    <t>MOB</t>
  </si>
  <si>
    <t>UCOR</t>
  </si>
  <si>
    <t>UPOR</t>
  </si>
  <si>
    <t>Recovery_Rate</t>
  </si>
  <si>
    <t>Holding_Days</t>
  </si>
  <si>
    <t>WebBank_Fee</t>
  </si>
  <si>
    <t>Service_Fee_PI</t>
  </si>
  <si>
    <t>Service_Fee_UPB</t>
  </si>
  <si>
    <t>Recovery_Fee</t>
  </si>
  <si>
    <t>Term</t>
  </si>
  <si>
    <t>Grade</t>
  </si>
  <si>
    <t>Interest Rate</t>
  </si>
  <si>
    <t>Recovery Rate</t>
  </si>
  <si>
    <t>C</t>
  </si>
  <si>
    <t>Holding Days</t>
  </si>
  <si>
    <t>Servicing Fee (P&amp;I)</t>
  </si>
  <si>
    <t>Servicing Fee (UPB)</t>
  </si>
  <si>
    <t>Effective Collection Fee</t>
  </si>
  <si>
    <t>Recovery Fee</t>
  </si>
  <si>
    <t>SBB</t>
  </si>
  <si>
    <t>SP</t>
  </si>
  <si>
    <t>SIP</t>
  </si>
  <si>
    <t>SPP</t>
  </si>
  <si>
    <t>EBB</t>
  </si>
  <si>
    <t>ESU</t>
  </si>
  <si>
    <t>EIP</t>
  </si>
  <si>
    <t>ESPP</t>
  </si>
  <si>
    <t>EUPP</t>
  </si>
  <si>
    <t>ED</t>
  </si>
  <si>
    <t>ER</t>
  </si>
  <si>
    <t>EWF</t>
  </si>
  <si>
    <t>ECF</t>
  </si>
  <si>
    <t>ERF</t>
  </si>
  <si>
    <t>ESF</t>
  </si>
  <si>
    <t>ETP</t>
  </si>
  <si>
    <t>EEB</t>
  </si>
  <si>
    <t>EPU</t>
  </si>
  <si>
    <t>DPOR</t>
  </si>
  <si>
    <t>SMM</t>
  </si>
  <si>
    <t>CPR</t>
  </si>
  <si>
    <t>ECU</t>
  </si>
  <si>
    <t>DCOR</t>
  </si>
  <si>
    <t>MDR</t>
  </si>
  <si>
    <t>CDR</t>
  </si>
  <si>
    <t>A</t>
  </si>
  <si>
    <t>B</t>
  </si>
  <si>
    <t>D</t>
  </si>
  <si>
    <t>E</t>
  </si>
  <si>
    <t>Prime</t>
  </si>
  <si>
    <t>IRR</t>
  </si>
  <si>
    <t>Yield</t>
  </si>
  <si>
    <t>NAR</t>
  </si>
  <si>
    <t>GCL</t>
  </si>
  <si>
    <t>NCL</t>
  </si>
  <si>
    <t>ACL</t>
  </si>
  <si>
    <t>- Collection Fee Effect</t>
  </si>
  <si>
    <t>- Recovery Fee Effect</t>
  </si>
  <si>
    <t>- Holding Effect</t>
  </si>
  <si>
    <t>- Servicing Fee Effect</t>
  </si>
  <si>
    <t>- Bank Fee Effect</t>
  </si>
  <si>
    <t xml:space="preserve">MOB Month on Book  </t>
  </si>
  <si>
    <t xml:space="preserve">UPOR   Unit Paid-Off Rate </t>
  </si>
  <si>
    <t xml:space="preserve">UCOR   Unit Charge-Off Rate   </t>
  </si>
  <si>
    <t xml:space="preserve">SBB    Scheduled Beginning Balance    </t>
  </si>
  <si>
    <t>SP Scheduled (Contractual) Payment    = PMT(R/12,T,-P)</t>
  </si>
  <si>
    <t>SIP    Scheduled Interest Payment = R/12*SBB</t>
  </si>
  <si>
    <t>SPP    Scheduled Principal Payment    = SP - SIP</t>
  </si>
  <si>
    <t>EBB    Expected Beginning (Performing) Balance    =EEB(MOB-1)</t>
  </si>
  <si>
    <t xml:space="preserve">ESU    Expected Surviving Units   </t>
  </si>
  <si>
    <t xml:space="preserve">EIP    Expected Interest Payment  </t>
  </si>
  <si>
    <t xml:space="preserve">ESPP   Expected Scheduled Principal Payment   </t>
  </si>
  <si>
    <t xml:space="preserve">EUPP   Expected Unscheduled Principal Payment (prepayment)    </t>
  </si>
  <si>
    <t xml:space="preserve">ED Expected Default (Amount)  </t>
  </si>
  <si>
    <t xml:space="preserve">ER Expected Recovery (Amount) </t>
  </si>
  <si>
    <t xml:space="preserve">ECF    Expected Collection Fees   </t>
  </si>
  <si>
    <t xml:space="preserve">ERF    Expected Recovery Fees </t>
  </si>
  <si>
    <t xml:space="preserve">ESF    Expected Servicing Fees    </t>
  </si>
  <si>
    <t>ETP    Expected Total Payment = EIP + ESPP + EUPP + ER - EWF - ECF - ERF - ESF</t>
  </si>
  <si>
    <t>EEB    Expected Ending (Performing) Balance   = EBB - (ED + ESPP + EUPP)</t>
  </si>
  <si>
    <t xml:space="preserve">EPU    Expected Paid-Off Units    </t>
  </si>
  <si>
    <t xml:space="preserve">DPOR   Dollar Paid-Off Rate   </t>
  </si>
  <si>
    <t xml:space="preserve">SMM    Single Monthly Mortality (Rate)    </t>
  </si>
  <si>
    <t xml:space="preserve">CPR    Conditional Prepayment Rate    </t>
  </si>
  <si>
    <t xml:space="preserve">ECU    Expected Charge-Off Units  </t>
  </si>
  <si>
    <t xml:space="preserve">DCOR   Dollar Charge-Off Rate </t>
  </si>
  <si>
    <t xml:space="preserve">MDR    Monthly Default Rate   </t>
  </si>
  <si>
    <t>CDR    Conditional Default Rate</t>
  </si>
  <si>
    <t>Measure of Returns</t>
  </si>
  <si>
    <t>- No Fees</t>
  </si>
  <si>
    <t>- w/ Collection Fees</t>
  </si>
  <si>
    <t>- w/ Collection and Recovery Fees</t>
  </si>
  <si>
    <t>- w/ Collection, Recovery Fees and Holding Period</t>
  </si>
  <si>
    <t>- w/ Collection, Recovery Fees, Holding, Servicing and Bank Fees</t>
  </si>
  <si>
    <t>- w/ Collection, Recovery Fees, Holding Period and Servicing Fees</t>
  </si>
  <si>
    <t>Bank Fee</t>
  </si>
  <si>
    <t>Effect of Fees on</t>
  </si>
  <si>
    <t>Macaulay Duration</t>
  </si>
  <si>
    <t>F/G</t>
  </si>
  <si>
    <t xml:space="preserve">EWF    Expected Bank Fees  </t>
  </si>
  <si>
    <t>Macaulay Duration is the weighted average term to maturity of the cash flows from a bond</t>
  </si>
  <si>
    <t>(i.)</t>
  </si>
  <si>
    <t>(ii.)</t>
  </si>
  <si>
    <t>(iii.)</t>
  </si>
  <si>
    <t>(iv.)</t>
  </si>
  <si>
    <t>(v.)</t>
  </si>
  <si>
    <t>(vi.)</t>
  </si>
  <si>
    <t>a.</t>
  </si>
  <si>
    <t>b.</t>
  </si>
  <si>
    <t>c.</t>
  </si>
  <si>
    <t>d.</t>
  </si>
  <si>
    <t>e.</t>
  </si>
  <si>
    <t>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</si>
</sst>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Menlo"/>
      <family val="2"/>
    </font>
    <font>
      <b/>
      <sz val="9"/>
      <color theme="1"/>
      <name val="Menlo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i/>
      <sz val="9"/>
      <color theme="1"/>
      <name val="Menlo"/>
      <family val="2"/>
    </font>
    <font>
      <sz val="12"/>
      <color rgb="FF000000"/>
      <name val="System Font"/>
    </font>
    <font>
      <sz val="9"/>
      <color theme="0"/>
      <name val="Menlo"/>
      <family val="2"/>
    </font>
    <font>
      <b/>
      <sz val="9"/>
      <color rgb="FF000000"/>
      <name val="Menlo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auto="1"/>
      </right>
      <top/>
      <bottom style="dashed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quotePrefix="1"/>
    <xf numFmtId="10" fontId="0" fillId="0" borderId="0" xfId="1" applyNumberFormat="1" applyFont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0" applyNumberFormat="1"/>
    <xf numFmtId="0" fontId="2" fillId="0" borderId="0" xfId="0" applyFont="1"/>
    <xf numFmtId="0" fontId="2" fillId="0" borderId="0" xfId="0" quotePrefix="1" applyFont="1"/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0" borderId="2" xfId="0" applyFont="1" applyBorder="1"/>
    <xf numFmtId="0" fontId="2" fillId="0" borderId="9" xfId="0" applyFont="1" applyBorder="1"/>
    <xf numFmtId="0" fontId="2" fillId="0" borderId="11" xfId="0" applyFont="1" applyBorder="1"/>
    <xf numFmtId="164" fontId="2" fillId="0" borderId="12" xfId="1" applyNumberFormat="1" applyFont="1" applyBorder="1" applyAlignment="1">
      <alignment horizontal="center"/>
    </xf>
    <xf numFmtId="0" fontId="2" fillId="0" borderId="13" xfId="0" applyFont="1" applyBorder="1"/>
    <xf numFmtId="0" fontId="2" fillId="0" borderId="3" xfId="0" applyFont="1" applyBorder="1"/>
    <xf numFmtId="0" fontId="2" fillId="0" borderId="10" xfId="0" applyFont="1" applyBorder="1"/>
    <xf numFmtId="0" fontId="2" fillId="0" borderId="12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8" xfId="0" applyFont="1" applyBorder="1"/>
    <xf numFmtId="0" fontId="2" fillId="0" borderId="19" xfId="0" applyFont="1" applyBorder="1"/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/>
    <xf numFmtId="0" fontId="0" fillId="2" borderId="20" xfId="0" applyFill="1" applyBorder="1"/>
    <xf numFmtId="0" fontId="6" fillId="0" borderId="0" xfId="0" applyFont="1"/>
    <xf numFmtId="10" fontId="2" fillId="0" borderId="18" xfId="1" applyNumberFormat="1" applyFont="1" applyBorder="1" applyAlignment="1">
      <alignment horizontal="center"/>
    </xf>
    <xf numFmtId="10" fontId="2" fillId="0" borderId="19" xfId="1" applyNumberFormat="1" applyFont="1" applyBorder="1" applyAlignment="1">
      <alignment horizontal="center"/>
    </xf>
    <xf numFmtId="10" fontId="2" fillId="0" borderId="15" xfId="1" applyNumberFormat="1" applyFont="1" applyBorder="1" applyAlignment="1">
      <alignment horizontal="center"/>
    </xf>
    <xf numFmtId="10" fontId="2" fillId="0" borderId="12" xfId="1" applyNumberFormat="1" applyFont="1" applyBorder="1" applyAlignment="1">
      <alignment horizontal="center"/>
    </xf>
    <xf numFmtId="10" fontId="2" fillId="0" borderId="16" xfId="1" applyNumberFormat="1" applyFont="1" applyBorder="1" applyAlignment="1">
      <alignment horizontal="center"/>
    </xf>
    <xf numFmtId="10" fontId="2" fillId="0" borderId="14" xfId="1" applyNumberFormat="1" applyFont="1" applyBorder="1" applyAlignment="1">
      <alignment horizontal="center"/>
    </xf>
    <xf numFmtId="10" fontId="2" fillId="0" borderId="0" xfId="1" applyNumberFormat="1" applyFont="1" applyAlignment="1">
      <alignment horizontal="center"/>
    </xf>
    <xf numFmtId="0" fontId="0" fillId="0" borderId="21" xfId="0" applyNumberFormat="1" applyFont="1" applyBorder="1"/>
    <xf numFmtId="0" fontId="8" fillId="0" borderId="0" xfId="0" applyFont="1"/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0" borderId="13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3" fillId="2" borderId="8" xfId="0" quotePrefix="1" applyFont="1" applyFill="1" applyBorder="1" applyAlignment="1">
      <alignment horizontal="center"/>
    </xf>
    <xf numFmtId="0" fontId="3" fillId="2" borderId="20" xfId="0" quotePrefix="1" applyFont="1" applyFill="1" applyBorder="1" applyAlignment="1">
      <alignment horizontal="center"/>
    </xf>
    <xf numFmtId="0" fontId="2" fillId="0" borderId="13" xfId="0" quotePrefix="1" applyFont="1" applyBorder="1" applyAlignment="1">
      <alignment horizontal="left"/>
    </xf>
    <xf numFmtId="0" fontId="2" fillId="0" borderId="16" xfId="0" quotePrefix="1" applyFont="1" applyBorder="1" applyAlignment="1">
      <alignment horizontal="left"/>
    </xf>
    <xf numFmtId="0" fontId="2" fillId="0" borderId="11" xfId="0" quotePrefix="1" applyFont="1" applyBorder="1" applyAlignment="1">
      <alignment horizontal="left"/>
    </xf>
    <xf numFmtId="0" fontId="2" fillId="0" borderId="15" xfId="0" quotePrefix="1" applyFont="1" applyBorder="1" applyAlignment="1">
      <alignment horizontal="left"/>
    </xf>
    <xf numFmtId="0" fontId="2" fillId="0" borderId="17" xfId="0" quotePrefix="1" applyFont="1" applyBorder="1" applyAlignment="1">
      <alignment horizontal="left"/>
    </xf>
    <xf numFmtId="0" fontId="2" fillId="0" borderId="18" xfId="0" quotePrefix="1" applyFont="1" applyBorder="1" applyAlignment="1">
      <alignment horizontal="left"/>
    </xf>
    <xf numFmtId="0" fontId="2" fillId="3" borderId="10" xfId="0" applyFont="1" applyFill="1" applyBorder="1"/>
    <xf numFmtId="0" fontId="2" fillId="3" borderId="12" xfId="0" applyFont="1" applyFill="1" applyBorder="1"/>
    <xf numFmtId="0" fontId="2" fillId="3" borderId="14" xfId="0" applyFont="1" applyFill="1" applyBorder="1"/>
    <xf numFmtId="0" fontId="2" fillId="0" borderId="9" xfId="0" applyFont="1" applyFill="1" applyBorder="1"/>
    <xf numFmtId="0" fontId="2" fillId="0" borderId="11" xfId="0" applyFont="1" applyFill="1" applyBorder="1"/>
    <xf numFmtId="0" fontId="2" fillId="0" borderId="13" xfId="0" applyFont="1" applyFill="1" applyBorder="1"/>
    <xf numFmtId="0" fontId="3" fillId="0" borderId="0" xfId="0" applyFont="1"/>
    <xf numFmtId="0" fontId="9" fillId="0" borderId="0" xfId="0" applyFont="1"/>
    <xf numFmtId="0" fontId="2" fillId="0" borderId="0" xfId="0" applyFont="1" applyAlignment="1">
      <alignment horizontal="right"/>
    </xf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Main!$C$12</c:f>
              <c:strCache>
                <c:ptCount val="1"/>
                <c:pt idx="0">
                  <c:v>UPOR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Main!$C$13:$C$48</c:f>
              <c:numCache>
                <c:formatCode>General</c:formatCode>
                <c:ptCount val="36"/>
                <c:pt idx="0">
                  <c:v>0.008</c:v>
                </c:pt>
                <c:pt idx="1">
                  <c:v>0.01</c:v>
                </c:pt>
                <c:pt idx="2">
                  <c:v>0.008</c:v>
                </c:pt>
                <c:pt idx="3">
                  <c:v>0.008</c:v>
                </c:pt>
                <c:pt idx="4">
                  <c:v>0.01</c:v>
                </c:pt>
                <c:pt idx="5">
                  <c:v>0.004</c:v>
                </c:pt>
                <c:pt idx="6">
                  <c:v>0.005</c:v>
                </c:pt>
                <c:pt idx="7">
                  <c:v>0.007</c:v>
                </c:pt>
                <c:pt idx="8">
                  <c:v>0.005</c:v>
                </c:pt>
                <c:pt idx="9">
                  <c:v>0.008</c:v>
                </c:pt>
                <c:pt idx="10">
                  <c:v>0.006</c:v>
                </c:pt>
                <c:pt idx="11">
                  <c:v>0.005</c:v>
                </c:pt>
                <c:pt idx="12">
                  <c:v>0.008</c:v>
                </c:pt>
                <c:pt idx="13">
                  <c:v>0.005</c:v>
                </c:pt>
                <c:pt idx="14">
                  <c:v>0.007</c:v>
                </c:pt>
                <c:pt idx="15">
                  <c:v>0.005</c:v>
                </c:pt>
                <c:pt idx="16">
                  <c:v>0.004</c:v>
                </c:pt>
                <c:pt idx="17">
                  <c:v>0.009</c:v>
                </c:pt>
                <c:pt idx="18">
                  <c:v>0.004</c:v>
                </c:pt>
                <c:pt idx="19">
                  <c:v>0.008</c:v>
                </c:pt>
                <c:pt idx="20">
                  <c:v>0.007</c:v>
                </c:pt>
                <c:pt idx="21">
                  <c:v>0.005</c:v>
                </c:pt>
                <c:pt idx="22">
                  <c:v>0.006</c:v>
                </c:pt>
                <c:pt idx="23">
                  <c:v>0.01</c:v>
                </c:pt>
                <c:pt idx="24">
                  <c:v>0.01</c:v>
                </c:pt>
                <c:pt idx="25">
                  <c:v>0.005</c:v>
                </c:pt>
                <c:pt idx="26">
                  <c:v>0.009</c:v>
                </c:pt>
                <c:pt idx="27">
                  <c:v>0.004</c:v>
                </c:pt>
                <c:pt idx="28">
                  <c:v>0.007</c:v>
                </c:pt>
                <c:pt idx="29">
                  <c:v>0.004</c:v>
                </c:pt>
                <c:pt idx="30">
                  <c:v>0.01</c:v>
                </c:pt>
                <c:pt idx="31">
                  <c:v>0.004</c:v>
                </c:pt>
                <c:pt idx="32">
                  <c:v>0.008</c:v>
                </c:pt>
                <c:pt idx="33">
                  <c:v>0.009</c:v>
                </c:pt>
                <c:pt idx="34">
                  <c:v>0.006</c:v>
                </c:pt>
                <c:pt idx="35">
                  <c:v>0.006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230304"/>
        <c:axId val="1697755632"/>
      </c:scatterChart>
      <c:valAx>
        <c:axId val="177023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755632"/>
        <c:crosses val="autoZero"/>
        <c:crossBetween val="midCat"/>
      </c:valAx>
      <c:valAx>
        <c:axId val="169775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23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Main!$D$12</c:f>
              <c:strCache>
                <c:ptCount val="1"/>
                <c:pt idx="0">
                  <c:v>UCOR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Main!$D$13:$D$48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0.0001</c:v>
                </c:pt>
                <c:pt idx="4">
                  <c:v>0.0002</c:v>
                </c:pt>
                <c:pt idx="5">
                  <c:v>0.0005</c:v>
                </c:pt>
                <c:pt idx="6">
                  <c:v>0.0008</c:v>
                </c:pt>
                <c:pt idx="7">
                  <c:v>0.0013</c:v>
                </c:pt>
                <c:pt idx="8">
                  <c:v>0.0019</c:v>
                </c:pt>
                <c:pt idx="9">
                  <c:v>0.0027</c:v>
                </c:pt>
                <c:pt idx="10">
                  <c:v>0.0035</c:v>
                </c:pt>
                <c:pt idx="11">
                  <c:v>0.0045</c:v>
                </c:pt>
                <c:pt idx="12">
                  <c:v>0.0055</c:v>
                </c:pt>
                <c:pt idx="13">
                  <c:v>0.0065</c:v>
                </c:pt>
                <c:pt idx="14">
                  <c:v>0.0074</c:v>
                </c:pt>
                <c:pt idx="15">
                  <c:v>0.0083</c:v>
                </c:pt>
                <c:pt idx="16">
                  <c:v>0.0091</c:v>
                </c:pt>
                <c:pt idx="17">
                  <c:v>0.0097</c:v>
                </c:pt>
                <c:pt idx="18">
                  <c:v>0.0103</c:v>
                </c:pt>
                <c:pt idx="19">
                  <c:v>0.0107</c:v>
                </c:pt>
                <c:pt idx="20">
                  <c:v>0.011</c:v>
                </c:pt>
                <c:pt idx="21">
                  <c:v>0.0111</c:v>
                </c:pt>
                <c:pt idx="22">
                  <c:v>0.0112</c:v>
                </c:pt>
                <c:pt idx="23">
                  <c:v>0.0111</c:v>
                </c:pt>
                <c:pt idx="24">
                  <c:v>0.0109</c:v>
                </c:pt>
                <c:pt idx="25">
                  <c:v>0.0107</c:v>
                </c:pt>
                <c:pt idx="26">
                  <c:v>0.0104</c:v>
                </c:pt>
                <c:pt idx="27">
                  <c:v>0.01</c:v>
                </c:pt>
                <c:pt idx="28">
                  <c:v>0.0096</c:v>
                </c:pt>
                <c:pt idx="29">
                  <c:v>0.0091</c:v>
                </c:pt>
                <c:pt idx="30">
                  <c:v>0.0087</c:v>
                </c:pt>
                <c:pt idx="31">
                  <c:v>0.0082</c:v>
                </c:pt>
                <c:pt idx="32">
                  <c:v>0.0077</c:v>
                </c:pt>
                <c:pt idx="33">
                  <c:v>0.0072</c:v>
                </c:pt>
                <c:pt idx="34">
                  <c:v>0.0067</c:v>
                </c:pt>
                <c:pt idx="35">
                  <c:v>0.0063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108672"/>
        <c:axId val="1770276736"/>
      </c:scatterChart>
      <c:valAx>
        <c:axId val="177010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276736"/>
        <c:crosses val="autoZero"/>
        <c:crossBetween val="midCat"/>
      </c:valAx>
      <c:valAx>
        <c:axId val="17702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10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Main!$L$12</c:f>
              <c:strCache>
                <c:ptCount val="1"/>
                <c:pt idx="0">
                  <c:v>ESPP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Main!$L$13:$L$48</c:f>
              <c:numCache>
                <c:formatCode>General</c:formatCode>
                <c:ptCount val="36"/>
                <c:pt idx="0">
                  <c:v>82.32794121012451</c:v>
                </c:pt>
                <c:pt idx="1">
                  <c:v>83.40743288347946</c:v>
                </c:pt>
                <c:pt idx="2">
                  <c:v>84.29710543573513</c:v>
                </c:pt>
                <c:pt idx="3">
                  <c:v>85.31771432555567</c:v>
                </c:pt>
                <c:pt idx="4">
                  <c:v>86.28889717489044</c:v>
                </c:pt>
                <c:pt idx="5">
                  <c:v>87.00503577188717</c:v>
                </c:pt>
                <c:pt idx="6">
                  <c:v>88.19877971972927</c:v>
                </c:pt>
                <c:pt idx="7">
                  <c:v>89.21167850059768</c:v>
                </c:pt>
                <c:pt idx="8">
                  <c:v>89.93324439234133</c:v>
                </c:pt>
                <c:pt idx="9">
                  <c:v>90.74386684057195</c:v>
                </c:pt>
                <c:pt idx="10">
                  <c:v>91.1486174844507</c:v>
                </c:pt>
                <c:pt idx="11">
                  <c:v>91.64273065573137</c:v>
                </c:pt>
                <c:pt idx="12">
                  <c:v>92.13640497191107</c:v>
                </c:pt>
                <c:pt idx="13">
                  <c:v>92.2156442003621</c:v>
                </c:pt>
                <c:pt idx="14">
                  <c:v>92.52185900015677</c:v>
                </c:pt>
                <c:pt idx="15">
                  <c:v>92.5244652497061</c:v>
                </c:pt>
                <c:pt idx="16">
                  <c:v>92.68090329390318</c:v>
                </c:pt>
                <c:pt idx="17">
                  <c:v>92.90713075047287</c:v>
                </c:pt>
                <c:pt idx="18">
                  <c:v>92.4799718291017</c:v>
                </c:pt>
                <c:pt idx="19">
                  <c:v>92.62273846855872</c:v>
                </c:pt>
                <c:pt idx="20">
                  <c:v>92.24607680076615</c:v>
                </c:pt>
                <c:pt idx="21">
                  <c:v>91.96440745536102</c:v>
                </c:pt>
                <c:pt idx="22">
                  <c:v>91.93102567072813</c:v>
                </c:pt>
                <c:pt idx="23">
                  <c:v>91.77134150560828</c:v>
                </c:pt>
                <c:pt idx="24">
                  <c:v>91.06354184870871</c:v>
                </c:pt>
                <c:pt idx="25">
                  <c:v>90.35186714163983</c:v>
                </c:pt>
                <c:pt idx="26">
                  <c:v>90.3449710872701</c:v>
                </c:pt>
                <c:pt idx="27">
                  <c:v>89.77886505476893</c:v>
                </c:pt>
                <c:pt idx="28">
                  <c:v>89.9736276980833</c:v>
                </c:pt>
                <c:pt idx="29">
                  <c:v>89.74942119056887</c:v>
                </c:pt>
                <c:pt idx="30">
                  <c:v>90.02313614630822</c:v>
                </c:pt>
                <c:pt idx="31">
                  <c:v>89.36620316212607</c:v>
                </c:pt>
                <c:pt idx="32">
                  <c:v>89.70517763969848</c:v>
                </c:pt>
                <c:pt idx="33">
                  <c:v>89.41243629502979</c:v>
                </c:pt>
                <c:pt idx="34">
                  <c:v>88.96143453013523</c:v>
                </c:pt>
                <c:pt idx="35">
                  <c:v>89.04388801312409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766320"/>
        <c:axId val="1697863808"/>
      </c:scatterChart>
      <c:valAx>
        <c:axId val="171176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863808"/>
        <c:crosses val="autoZero"/>
        <c:crossBetween val="midCat"/>
      </c:valAx>
      <c:valAx>
        <c:axId val="16978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76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Main!$M$12</c:f>
              <c:strCache>
                <c:ptCount val="1"/>
                <c:pt idx="0">
                  <c:v>EUPP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Main!$M$13:$M$48</c:f>
              <c:numCache>
                <c:formatCode>General</c:formatCode>
                <c:ptCount val="36"/>
                <c:pt idx="0">
                  <c:v>79.3411788239662</c:v>
                </c:pt>
                <c:pt idx="1">
                  <c:v>98.33499418286857</c:v>
                </c:pt>
                <c:pt idx="2">
                  <c:v>77.98013646881027</c:v>
                </c:pt>
                <c:pt idx="3">
                  <c:v>77.27728226779652</c:v>
                </c:pt>
                <c:pt idx="4">
                  <c:v>95.69888230650085</c:v>
                </c:pt>
                <c:pt idx="5">
                  <c:v>37.91263658829612</c:v>
                </c:pt>
                <c:pt idx="6">
                  <c:v>46.92215184738008</c:v>
                </c:pt>
                <c:pt idx="7">
                  <c:v>65.0206081316846</c:v>
                </c:pt>
                <c:pt idx="8">
                  <c:v>45.95399204280409</c:v>
                </c:pt>
                <c:pt idx="9">
                  <c:v>72.72644133490576</c:v>
                </c:pt>
                <c:pt idx="10">
                  <c:v>53.93179243497966</c:v>
                </c:pt>
                <c:pt idx="11">
                  <c:v>44.42115802336406</c:v>
                </c:pt>
                <c:pt idx="12">
                  <c:v>70.22044165320362</c:v>
                </c:pt>
                <c:pt idx="13">
                  <c:v>43.34276631575604</c:v>
                </c:pt>
                <c:pt idx="14">
                  <c:v>59.90022554098575</c:v>
                </c:pt>
                <c:pt idx="15">
                  <c:v>42.21684423482117</c:v>
                </c:pt>
                <c:pt idx="16">
                  <c:v>33.30832656329532</c:v>
                </c:pt>
                <c:pt idx="17">
                  <c:v>73.87433436230606</c:v>
                </c:pt>
                <c:pt idx="18">
                  <c:v>32.34738712371836</c:v>
                </c:pt>
                <c:pt idx="19">
                  <c:v>63.70229914999702</c:v>
                </c:pt>
                <c:pt idx="20">
                  <c:v>54.85216458350402</c:v>
                </c:pt>
                <c:pt idx="21">
                  <c:v>38.53248088742487</c:v>
                </c:pt>
                <c:pt idx="22">
                  <c:v>45.44487088289952</c:v>
                </c:pt>
                <c:pt idx="23">
                  <c:v>74.38908864353562</c:v>
                </c:pt>
                <c:pt idx="24">
                  <c:v>73.00724430592242</c:v>
                </c:pt>
                <c:pt idx="25">
                  <c:v>35.79763788087464</c:v>
                </c:pt>
                <c:pt idx="26">
                  <c:v>63.13727367298184</c:v>
                </c:pt>
                <c:pt idx="27">
                  <c:v>27.47132996267325</c:v>
                </c:pt>
                <c:pt idx="28">
                  <c:v>47.0203901437246</c:v>
                </c:pt>
                <c:pt idx="29">
                  <c:v>26.25312349704468</c:v>
                </c:pt>
                <c:pt idx="30">
                  <c:v>64.0600775031584</c:v>
                </c:pt>
                <c:pt idx="31">
                  <c:v>24.981224289074</c:v>
                </c:pt>
                <c:pt idx="32">
                  <c:v>48.64880878111781</c:v>
                </c:pt>
                <c:pt idx="33">
                  <c:v>53.2198480910764</c:v>
                </c:pt>
                <c:pt idx="34">
                  <c:v>34.45124463761589</c:v>
                </c:pt>
                <c:pt idx="35">
                  <c:v>33.40016588869057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180976"/>
        <c:axId val="1357970512"/>
      </c:scatterChart>
      <c:valAx>
        <c:axId val="171218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970512"/>
        <c:crosses val="autoZero"/>
        <c:crossBetween val="midCat"/>
      </c:valAx>
      <c:valAx>
        <c:axId val="135797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18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Main!$N$12</c:f>
              <c:strCache>
                <c:ptCount val="1"/>
                <c:pt idx="0">
                  <c:v>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Main!$N$13:$N$48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2.0</c:v>
                </c:pt>
                <c:pt idx="5">
                  <c:v>4.958823676497888</c:v>
                </c:pt>
                <c:pt idx="6">
                  <c:v>7.866799534629485</c:v>
                </c:pt>
                <c:pt idx="7">
                  <c:v>12.67177217618167</c:v>
                </c:pt>
                <c:pt idx="8">
                  <c:v>18.35335453860167</c:v>
                </c:pt>
                <c:pt idx="9">
                  <c:v>25.83869822275523</c:v>
                </c:pt>
                <c:pt idx="10">
                  <c:v>33.1735570147591</c:v>
                </c:pt>
                <c:pt idx="11">
                  <c:v>42.22993666264208</c:v>
                </c:pt>
                <c:pt idx="12">
                  <c:v>51.08762067489502</c:v>
                </c:pt>
                <c:pt idx="13">
                  <c:v>59.74018965564532</c:v>
                </c:pt>
                <c:pt idx="14">
                  <c:v>67.27195823478782</c:v>
                </c:pt>
                <c:pt idx="15">
                  <c:v>74.60564620172187</c:v>
                </c:pt>
                <c:pt idx="16">
                  <c:v>80.84650760252259</c:v>
                </c:pt>
                <c:pt idx="17">
                  <c:v>85.14228550450939</c:v>
                </c:pt>
                <c:pt idx="18">
                  <c:v>89.28609861045744</c:v>
                </c:pt>
                <c:pt idx="19">
                  <c:v>91.56177332693531</c:v>
                </c:pt>
                <c:pt idx="20">
                  <c:v>92.87705731660657</c:v>
                </c:pt>
                <c:pt idx="21">
                  <c:v>92.43060621314451</c:v>
                </c:pt>
                <c:pt idx="22">
                  <c:v>91.9325049842031</c:v>
                </c:pt>
                <c:pt idx="23">
                  <c:v>89.7639992683184</c:v>
                </c:pt>
                <c:pt idx="24">
                  <c:v>86.79438259187095</c:v>
                </c:pt>
                <c:pt idx="25">
                  <c:v>83.84545157764185</c:v>
                </c:pt>
                <c:pt idx="26">
                  <c:v>80.1475602458437</c:v>
                </c:pt>
                <c:pt idx="27">
                  <c:v>75.74145147149918</c:v>
                </c:pt>
                <c:pt idx="28">
                  <c:v>71.4135250977942</c:v>
                </c:pt>
                <c:pt idx="29">
                  <c:v>66.43659231838943</c:v>
                </c:pt>
                <c:pt idx="30">
                  <c:v>62.28788991272187</c:v>
                </c:pt>
                <c:pt idx="31">
                  <c:v>57.52507156871679</c:v>
                </c:pt>
                <c:pt idx="32">
                  <c:v>52.88231017814601</c:v>
                </c:pt>
                <c:pt idx="33">
                  <c:v>48.36382986211671</c:v>
                </c:pt>
                <c:pt idx="34">
                  <c:v>43.97398185754985</c:v>
                </c:pt>
                <c:pt idx="35">
                  <c:v>40.35784882698979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550704"/>
        <c:axId val="1702308544"/>
      </c:scatterChart>
      <c:valAx>
        <c:axId val="17175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308544"/>
        <c:crosses val="autoZero"/>
        <c:crossBetween val="midCat"/>
      </c:valAx>
      <c:valAx>
        <c:axId val="17023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5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Main!$O$12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Main!$O$13:$O$48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0.095</c:v>
                </c:pt>
                <c:pt idx="4">
                  <c:v>0.19</c:v>
                </c:pt>
                <c:pt idx="5">
                  <c:v>0.471088249267299</c:v>
                </c:pt>
                <c:pt idx="6">
                  <c:v>0.747345955789801</c:v>
                </c:pt>
                <c:pt idx="7">
                  <c:v>1.203818356737259</c:v>
                </c:pt>
                <c:pt idx="8">
                  <c:v>1.743568681167159</c:v>
                </c:pt>
                <c:pt idx="9">
                  <c:v>2.454676331161747</c:v>
                </c:pt>
                <c:pt idx="10">
                  <c:v>3.151487916402115</c:v>
                </c:pt>
                <c:pt idx="11">
                  <c:v>4.011843982950997</c:v>
                </c:pt>
                <c:pt idx="12">
                  <c:v>4.853323964115027</c:v>
                </c:pt>
                <c:pt idx="13">
                  <c:v>5.675318017286305</c:v>
                </c:pt>
                <c:pt idx="14">
                  <c:v>6.390836032304842</c:v>
                </c:pt>
                <c:pt idx="15">
                  <c:v>7.087536389163578</c:v>
                </c:pt>
                <c:pt idx="16">
                  <c:v>7.680418222239647</c:v>
                </c:pt>
                <c:pt idx="17">
                  <c:v>8.088517122928392</c:v>
                </c:pt>
                <c:pt idx="18">
                  <c:v>8.482179367993456</c:v>
                </c:pt>
                <c:pt idx="19">
                  <c:v>8.698368466058854</c:v>
                </c:pt>
                <c:pt idx="20">
                  <c:v>8.823320445077623</c:v>
                </c:pt>
                <c:pt idx="21">
                  <c:v>8.780907590248728</c:v>
                </c:pt>
                <c:pt idx="22">
                  <c:v>8.733587973499293</c:v>
                </c:pt>
                <c:pt idx="23">
                  <c:v>8.527579930490251</c:v>
                </c:pt>
                <c:pt idx="24">
                  <c:v>8.24546634622774</c:v>
                </c:pt>
                <c:pt idx="25">
                  <c:v>7.965317899875976</c:v>
                </c:pt>
                <c:pt idx="26">
                  <c:v>7.614018223355152</c:v>
                </c:pt>
                <c:pt idx="27">
                  <c:v>7.195437889792423</c:v>
                </c:pt>
                <c:pt idx="28">
                  <c:v>6.784284884290448</c:v>
                </c:pt>
                <c:pt idx="29">
                  <c:v>6.311476270246996</c:v>
                </c:pt>
                <c:pt idx="30">
                  <c:v>5.917349541708578</c:v>
                </c:pt>
                <c:pt idx="31">
                  <c:v>5.464881799028095</c:v>
                </c:pt>
                <c:pt idx="32">
                  <c:v>5.023819466923872</c:v>
                </c:pt>
                <c:pt idx="33">
                  <c:v>4.594563836901087</c:v>
                </c:pt>
                <c:pt idx="34">
                  <c:v>4.177528276467236</c:v>
                </c:pt>
                <c:pt idx="35">
                  <c:v>3.83399563856403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596416"/>
        <c:axId val="1719155216"/>
      </c:scatterChart>
      <c:valAx>
        <c:axId val="171959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155216"/>
        <c:crosses val="autoZero"/>
        <c:crossBetween val="midCat"/>
      </c:valAx>
      <c:valAx>
        <c:axId val="17191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59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Main!$P$12</c:f>
              <c:strCache>
                <c:ptCount val="1"/>
                <c:pt idx="0">
                  <c:v>EWF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Main!$P$13:$P$48</c:f>
              <c:numCache>
                <c:formatCode>General</c:formatCode>
                <c:ptCount val="36"/>
                <c:pt idx="0">
                  <c:v>0.718526314734848</c:v>
                </c:pt>
                <c:pt idx="1">
                  <c:v>0.792089075786914</c:v>
                </c:pt>
                <c:pt idx="2">
                  <c:v>0.744891743183506</c:v>
                </c:pt>
                <c:pt idx="3">
                  <c:v>0.7378994755472</c:v>
                </c:pt>
                <c:pt idx="4">
                  <c:v>0.768795693213925</c:v>
                </c:pt>
                <c:pt idx="5">
                  <c:v>0.645594244543608</c:v>
                </c:pt>
                <c:pt idx="6">
                  <c:v>0.659107985356713</c:v>
                </c:pt>
                <c:pt idx="7">
                  <c:v>0.689598197632242</c:v>
                </c:pt>
                <c:pt idx="8">
                  <c:v>0.643956149279375</c:v>
                </c:pt>
                <c:pt idx="9">
                  <c:v>0.690592936982481</c:v>
                </c:pt>
                <c:pt idx="10">
                  <c:v>0.643752777654899</c:v>
                </c:pt>
                <c:pt idx="11">
                  <c:v>0.616141423127347</c:v>
                </c:pt>
                <c:pt idx="12">
                  <c:v>0.659270045741507</c:v>
                </c:pt>
                <c:pt idx="13">
                  <c:v>0.594882211362662</c:v>
                </c:pt>
                <c:pt idx="14">
                  <c:v>0.618806338814792</c:v>
                </c:pt>
                <c:pt idx="15">
                  <c:v>0.572807092498514</c:v>
                </c:pt>
                <c:pt idx="16">
                  <c:v>0.545378772451327</c:v>
                </c:pt>
                <c:pt idx="17">
                  <c:v>0.61744013810982</c:v>
                </c:pt>
                <c:pt idx="18">
                  <c:v>0.522251996693674</c:v>
                </c:pt>
                <c:pt idx="19">
                  <c:v>0.575891170806704</c:v>
                </c:pt>
                <c:pt idx="20">
                  <c:v>0.546837571616958</c:v>
                </c:pt>
                <c:pt idx="21">
                  <c:v>0.50356572052085</c:v>
                </c:pt>
                <c:pt idx="22">
                  <c:v>0.50813963898407</c:v>
                </c:pt>
                <c:pt idx="23">
                  <c:v>0.556416789801207</c:v>
                </c:pt>
                <c:pt idx="24">
                  <c:v>0.541879277363415</c:v>
                </c:pt>
                <c:pt idx="25">
                  <c:v>0.455986593397758</c:v>
                </c:pt>
                <c:pt idx="26">
                  <c:v>0.502436202454056</c:v>
                </c:pt>
                <c:pt idx="27">
                  <c:v>0.420772183976494</c:v>
                </c:pt>
                <c:pt idx="28">
                  <c:v>0.452842052398697</c:v>
                </c:pt>
                <c:pt idx="29">
                  <c:v>0.402777503930418</c:v>
                </c:pt>
                <c:pt idx="30">
                  <c:v>0.471963865296755</c:v>
                </c:pt>
                <c:pt idx="31">
                  <c:v>0.384014662576248</c:v>
                </c:pt>
                <c:pt idx="32">
                  <c:v>0.425462919679053</c:v>
                </c:pt>
                <c:pt idx="33">
                  <c:v>0.426555547359257</c:v>
                </c:pt>
                <c:pt idx="34">
                  <c:v>0.380608466336217</c:v>
                </c:pt>
                <c:pt idx="35">
                  <c:v>0.372138832721877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590992"/>
        <c:axId val="1630593040"/>
      </c:scatterChart>
      <c:valAx>
        <c:axId val="163059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93040"/>
        <c:crosses val="autoZero"/>
        <c:crossBetween val="midCat"/>
      </c:valAx>
      <c:valAx>
        <c:axId val="163059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9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Main!$Q$12</c:f>
              <c:strCache>
                <c:ptCount val="1"/>
                <c:pt idx="0">
                  <c:v>ECF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Main!$Q$13:$Q$48</c:f>
              <c:numCache>
                <c:formatCode>General</c:formatCode>
                <c:ptCount val="36"/>
                <c:pt idx="0">
                  <c:v>0.970010524892045</c:v>
                </c:pt>
                <c:pt idx="1">
                  <c:v>1.069320252312334</c:v>
                </c:pt>
                <c:pt idx="2">
                  <c:v>1.005603853297734</c:v>
                </c:pt>
                <c:pt idx="3">
                  <c:v>0.996164291988721</c:v>
                </c:pt>
                <c:pt idx="4">
                  <c:v>1.037874185838799</c:v>
                </c:pt>
                <c:pt idx="5">
                  <c:v>0.871552230133871</c:v>
                </c:pt>
                <c:pt idx="6">
                  <c:v>0.889795780231563</c:v>
                </c:pt>
                <c:pt idx="7">
                  <c:v>0.930957566803527</c:v>
                </c:pt>
                <c:pt idx="8">
                  <c:v>0.869340801527157</c:v>
                </c:pt>
                <c:pt idx="9">
                  <c:v>0.93230046492635</c:v>
                </c:pt>
                <c:pt idx="10">
                  <c:v>0.869066249834114</c:v>
                </c:pt>
                <c:pt idx="11">
                  <c:v>0.831790921221919</c:v>
                </c:pt>
                <c:pt idx="12">
                  <c:v>0.890014561751034</c:v>
                </c:pt>
                <c:pt idx="13">
                  <c:v>0.803090985339594</c:v>
                </c:pt>
                <c:pt idx="14">
                  <c:v>0.83538855739997</c:v>
                </c:pt>
                <c:pt idx="15">
                  <c:v>0.773289574872993</c:v>
                </c:pt>
                <c:pt idx="16">
                  <c:v>0.736261342809291</c:v>
                </c:pt>
                <c:pt idx="17">
                  <c:v>0.833544186448258</c:v>
                </c:pt>
                <c:pt idx="18">
                  <c:v>0.70504019553646</c:v>
                </c:pt>
                <c:pt idx="19">
                  <c:v>0.77745308058905</c:v>
                </c:pt>
                <c:pt idx="20">
                  <c:v>0.738230721682894</c:v>
                </c:pt>
                <c:pt idx="21">
                  <c:v>0.679813722703148</c:v>
                </c:pt>
                <c:pt idx="22">
                  <c:v>0.685988512628494</c:v>
                </c:pt>
                <c:pt idx="23">
                  <c:v>0.751162666231629</c:v>
                </c:pt>
                <c:pt idx="24">
                  <c:v>0.73153702444061</c:v>
                </c:pt>
                <c:pt idx="25">
                  <c:v>0.615581901086973</c:v>
                </c:pt>
                <c:pt idx="26">
                  <c:v>0.678288873312976</c:v>
                </c:pt>
                <c:pt idx="27">
                  <c:v>0.568042448368266</c:v>
                </c:pt>
                <c:pt idx="28">
                  <c:v>0.611336770738241</c:v>
                </c:pt>
                <c:pt idx="29">
                  <c:v>0.543749630306064</c:v>
                </c:pt>
                <c:pt idx="30">
                  <c:v>0.637151218150619</c:v>
                </c:pt>
                <c:pt idx="31">
                  <c:v>0.518419794477935</c:v>
                </c:pt>
                <c:pt idx="32">
                  <c:v>0.574374941566721</c:v>
                </c:pt>
                <c:pt idx="33">
                  <c:v>0.575849988934997</c:v>
                </c:pt>
                <c:pt idx="34">
                  <c:v>0.513821429553894</c:v>
                </c:pt>
                <c:pt idx="35">
                  <c:v>0.502387424174534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613488"/>
        <c:axId val="1630615536"/>
      </c:scatterChart>
      <c:valAx>
        <c:axId val="163061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615536"/>
        <c:crosses val="autoZero"/>
        <c:crossBetween val="midCat"/>
      </c:valAx>
      <c:valAx>
        <c:axId val="16306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61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Main!$R$12</c:f>
              <c:strCache>
                <c:ptCount val="1"/>
                <c:pt idx="0">
                  <c:v>ERF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Main!$R$13:$R$48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0.0171</c:v>
                </c:pt>
                <c:pt idx="4">
                  <c:v>0.0342</c:v>
                </c:pt>
                <c:pt idx="5">
                  <c:v>0.0847958848681139</c:v>
                </c:pt>
                <c:pt idx="6">
                  <c:v>0.134522272042164</c:v>
                </c:pt>
                <c:pt idx="7">
                  <c:v>0.216687304212707</c:v>
                </c:pt>
                <c:pt idx="8">
                  <c:v>0.313842362610089</c:v>
                </c:pt>
                <c:pt idx="9">
                  <c:v>0.441841739609114</c:v>
                </c:pt>
                <c:pt idx="10">
                  <c:v>0.567267824952381</c:v>
                </c:pt>
                <c:pt idx="11">
                  <c:v>0.72213191693118</c:v>
                </c:pt>
                <c:pt idx="12">
                  <c:v>0.873598313540705</c:v>
                </c:pt>
                <c:pt idx="13">
                  <c:v>1.021557243111535</c:v>
                </c:pt>
                <c:pt idx="14">
                  <c:v>1.150350485814872</c:v>
                </c:pt>
                <c:pt idx="15">
                  <c:v>1.275756550049444</c:v>
                </c:pt>
                <c:pt idx="16">
                  <c:v>1.382475280003136</c:v>
                </c:pt>
                <c:pt idx="17">
                  <c:v>1.455933082127111</c:v>
                </c:pt>
                <c:pt idx="18">
                  <c:v>1.526792286238822</c:v>
                </c:pt>
                <c:pt idx="19">
                  <c:v>1.565706323890594</c:v>
                </c:pt>
                <c:pt idx="20">
                  <c:v>1.588197680113972</c:v>
                </c:pt>
                <c:pt idx="21">
                  <c:v>1.580563366244771</c:v>
                </c:pt>
                <c:pt idx="22">
                  <c:v>1.572045835229873</c:v>
                </c:pt>
                <c:pt idx="23">
                  <c:v>1.534964387488245</c:v>
                </c:pt>
                <c:pt idx="24">
                  <c:v>1.484183942320993</c:v>
                </c:pt>
                <c:pt idx="25">
                  <c:v>1.433757221977676</c:v>
                </c:pt>
                <c:pt idx="26">
                  <c:v>1.370523280203927</c:v>
                </c:pt>
                <c:pt idx="27">
                  <c:v>1.295178820162636</c:v>
                </c:pt>
                <c:pt idx="28">
                  <c:v>1.221171279172281</c:v>
                </c:pt>
                <c:pt idx="29">
                  <c:v>1.136065728644459</c:v>
                </c:pt>
                <c:pt idx="30">
                  <c:v>1.065122917507544</c:v>
                </c:pt>
                <c:pt idx="31">
                  <c:v>0.983678723825057</c:v>
                </c:pt>
                <c:pt idx="32">
                  <c:v>0.904287504046297</c:v>
                </c:pt>
                <c:pt idx="33">
                  <c:v>0.827021490642196</c:v>
                </c:pt>
                <c:pt idx="34">
                  <c:v>0.751955089764102</c:v>
                </c:pt>
                <c:pt idx="35">
                  <c:v>0.690119214941525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638496"/>
        <c:axId val="1630640544"/>
      </c:scatterChart>
      <c:valAx>
        <c:axId val="163063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640544"/>
        <c:crosses val="autoZero"/>
        <c:crossBetween val="midCat"/>
      </c:valAx>
      <c:valAx>
        <c:axId val="163064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63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Main!$S$12</c:f>
              <c:strCache>
                <c:ptCount val="1"/>
                <c:pt idx="0">
                  <c:v>ESF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Main!$S$13:$S$48</c:f>
              <c:numCache>
                <c:formatCode>General</c:formatCode>
                <c:ptCount val="36"/>
                <c:pt idx="0">
                  <c:v>2.799219785434579</c:v>
                </c:pt>
                <c:pt idx="1">
                  <c:v>2.977095437105886</c:v>
                </c:pt>
                <c:pt idx="2">
                  <c:v>2.94465735122943</c:v>
                </c:pt>
                <c:pt idx="3">
                  <c:v>2.916724555058037</c:v>
                </c:pt>
                <c:pt idx="4">
                  <c:v>2.886989643004619</c:v>
                </c:pt>
                <c:pt idx="5">
                  <c:v>2.848844856835082</c:v>
                </c:pt>
                <c:pt idx="6">
                  <c:v>2.826318408309765</c:v>
                </c:pt>
                <c:pt idx="7">
                  <c:v>2.797784906844363</c:v>
                </c:pt>
                <c:pt idx="8">
                  <c:v>2.760240825968835</c:v>
                </c:pt>
                <c:pt idx="9">
                  <c:v>2.72570027156335</c:v>
                </c:pt>
                <c:pt idx="10">
                  <c:v>2.679445963924699</c:v>
                </c:pt>
                <c:pt idx="11">
                  <c:v>2.636495535403095</c:v>
                </c:pt>
                <c:pt idx="12">
                  <c:v>3.296350228707535</c:v>
                </c:pt>
                <c:pt idx="13">
                  <c:v>2.974411056813312</c:v>
                </c:pt>
                <c:pt idx="14">
                  <c:v>3.094031694073962</c:v>
                </c:pt>
                <c:pt idx="15">
                  <c:v>2.864035462492568</c:v>
                </c:pt>
                <c:pt idx="16">
                  <c:v>2.726893862256634</c:v>
                </c:pt>
                <c:pt idx="17">
                  <c:v>3.087200690549102</c:v>
                </c:pt>
                <c:pt idx="18">
                  <c:v>2.611259983468372</c:v>
                </c:pt>
                <c:pt idx="19">
                  <c:v>2.87945585403352</c:v>
                </c:pt>
                <c:pt idx="20">
                  <c:v>2.734187858084792</c:v>
                </c:pt>
                <c:pt idx="21">
                  <c:v>2.517828602604252</c:v>
                </c:pt>
                <c:pt idx="22">
                  <c:v>2.540698194920349</c:v>
                </c:pt>
                <c:pt idx="23">
                  <c:v>2.782083949006033</c:v>
                </c:pt>
                <c:pt idx="24">
                  <c:v>2.709396386817073</c:v>
                </c:pt>
                <c:pt idx="25">
                  <c:v>2.279932966988788</c:v>
                </c:pt>
                <c:pt idx="26">
                  <c:v>2.512181012270282</c:v>
                </c:pt>
                <c:pt idx="27">
                  <c:v>2.103860919882468</c:v>
                </c:pt>
                <c:pt idx="28">
                  <c:v>2.264210261993487</c:v>
                </c:pt>
                <c:pt idx="29">
                  <c:v>2.013887519652088</c:v>
                </c:pt>
                <c:pt idx="30">
                  <c:v>2.359819326483773</c:v>
                </c:pt>
                <c:pt idx="31">
                  <c:v>1.92007331288124</c:v>
                </c:pt>
                <c:pt idx="32">
                  <c:v>2.127314598395264</c:v>
                </c:pt>
                <c:pt idx="33">
                  <c:v>2.132777736796284</c:v>
                </c:pt>
                <c:pt idx="34">
                  <c:v>1.903042331681087</c:v>
                </c:pt>
                <c:pt idx="35">
                  <c:v>1.860694163609386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846656"/>
        <c:axId val="1770848704"/>
      </c:scatterChart>
      <c:valAx>
        <c:axId val="177084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848704"/>
        <c:crosses val="autoZero"/>
        <c:crossBetween val="midCat"/>
      </c:valAx>
      <c:valAx>
        <c:axId val="17708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84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Main!$T$12</c:f>
              <c:strCache>
                <c:ptCount val="1"/>
                <c:pt idx="0">
                  <c:v>ETP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Main!$T$13:$T$48</c:f>
              <c:numCache>
                <c:formatCode>General</c:formatCode>
                <c:ptCount val="36"/>
                <c:pt idx="0">
                  <c:v>354.7754007423627</c:v>
                </c:pt>
                <c:pt idx="1">
                  <c:v>391.206033128252</c:v>
                </c:pt>
                <c:pt idx="2">
                  <c:v>367.7507186440426</c:v>
                </c:pt>
                <c:pt idx="3">
                  <c:v>364.3768494510063</c:v>
                </c:pt>
                <c:pt idx="4">
                  <c:v>379.8599870849054</c:v>
                </c:pt>
                <c:pt idx="5">
                  <c:v>318.817423304691</c:v>
                </c:pt>
                <c:pt idx="6">
                  <c:v>325.7915941882061</c:v>
                </c:pt>
                <c:pt idx="7">
                  <c:v>341.3678891973654</c:v>
                </c:pt>
                <c:pt idx="8">
                  <c:v>319.1342631814694</c:v>
                </c:pt>
                <c:pt idx="9">
                  <c:v>342.9607094093212</c:v>
                </c:pt>
                <c:pt idx="10">
                  <c:v>320.2683439274856</c:v>
                </c:pt>
                <c:pt idx="11">
                  <c:v>307.275995749941</c:v>
                </c:pt>
                <c:pt idx="12">
                  <c:v>328.7691136851278</c:v>
                </c:pt>
                <c:pt idx="13">
                  <c:v>297.7224822019903</c:v>
                </c:pt>
                <c:pt idx="14">
                  <c:v>310.0954283635973</c:v>
                </c:pt>
                <c:pt idx="15">
                  <c:v>288.0051939585069</c:v>
                </c:pt>
                <c:pt idx="16">
                  <c:v>274.9787951903826</c:v>
                </c:pt>
                <c:pt idx="17">
                  <c:v>310.8144680806044</c:v>
                </c:pt>
                <c:pt idx="18">
                  <c:v>264.2428332528933</c:v>
                </c:pt>
                <c:pt idx="19">
                  <c:v>290.845447440091</c:v>
                </c:pt>
                <c:pt idx="20">
                  <c:v>276.6346524220582</c:v>
                </c:pt>
                <c:pt idx="21">
                  <c:v>255.281996438601</c:v>
                </c:pt>
                <c:pt idx="22">
                  <c:v>257.4965352837714</c:v>
                </c:pt>
                <c:pt idx="23">
                  <c:v>281.1113470385665</c:v>
                </c:pt>
                <c:pt idx="24">
                  <c:v>273.7181083969929</c:v>
                </c:pt>
                <c:pt idx="25">
                  <c:v>231.1733559153036</c:v>
                </c:pt>
                <c:pt idx="26">
                  <c:v>253.768690082142</c:v>
                </c:pt>
                <c:pt idx="27">
                  <c:v>213.1936755056494</c:v>
                </c:pt>
                <c:pt idx="28">
                  <c:v>228.6557507193365</c:v>
                </c:pt>
                <c:pt idx="29">
                  <c:v>203.6037478529227</c:v>
                </c:pt>
                <c:pt idx="30">
                  <c:v>237.3652248626472</c:v>
                </c:pt>
                <c:pt idx="31">
                  <c:v>193.6660265933916</c:v>
                </c:pt>
                <c:pt idx="32">
                  <c:v>213.723839342763</c:v>
                </c:pt>
                <c:pt idx="33">
                  <c:v>213.9101327527968</c:v>
                </c:pt>
                <c:pt idx="34">
                  <c:v>190.9323341272407</c:v>
                </c:pt>
                <c:pt idx="35">
                  <c:v>186.4780723640553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592272"/>
        <c:axId val="1712004608"/>
      </c:scatterChart>
      <c:valAx>
        <c:axId val="171159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004608"/>
        <c:crosses val="autoZero"/>
        <c:crossBetween val="midCat"/>
      </c:valAx>
      <c:valAx>
        <c:axId val="17120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59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Main!$U$12</c:f>
              <c:strCache>
                <c:ptCount val="1"/>
                <c:pt idx="0">
                  <c:v>EEB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Main!$U$13:$U$48</c:f>
              <c:numCache>
                <c:formatCode>General</c:formatCode>
                <c:ptCount val="36"/>
                <c:pt idx="0">
                  <c:v>9838.33087996591</c:v>
                </c:pt>
                <c:pt idx="1">
                  <c:v>9656.58845289956</c:v>
                </c:pt>
                <c:pt idx="2">
                  <c:v>9494.311210995016</c:v>
                </c:pt>
                <c:pt idx="3">
                  <c:v>9330.716214401663</c:v>
                </c:pt>
                <c:pt idx="4">
                  <c:v>9146.728434920273</c:v>
                </c:pt>
                <c:pt idx="5">
                  <c:v>9016.851938883592</c:v>
                </c:pt>
                <c:pt idx="6">
                  <c:v>8873.864207781853</c:v>
                </c:pt>
                <c:pt idx="7">
                  <c:v>8706.960148973389</c:v>
                </c:pt>
                <c:pt idx="8">
                  <c:v>8552.71955799964</c:v>
                </c:pt>
                <c:pt idx="9">
                  <c:v>8363.41055160141</c:v>
                </c:pt>
                <c:pt idx="10">
                  <c:v>8185.15658466722</c:v>
                </c:pt>
                <c:pt idx="11">
                  <c:v>8006.862759325482</c:v>
                </c:pt>
                <c:pt idx="12">
                  <c:v>7793.418292025472</c:v>
                </c:pt>
                <c:pt idx="13">
                  <c:v>7598.119691853707</c:v>
                </c:pt>
                <c:pt idx="14">
                  <c:v>7378.425649077776</c:v>
                </c:pt>
                <c:pt idx="15">
                  <c:v>7169.078693391527</c:v>
                </c:pt>
                <c:pt idx="16">
                  <c:v>6962.242955931806</c:v>
                </c:pt>
                <c:pt idx="17">
                  <c:v>6710.319205314517</c:v>
                </c:pt>
                <c:pt idx="18">
                  <c:v>6496.20574775124</c:v>
                </c:pt>
                <c:pt idx="19">
                  <c:v>6248.318936805748</c:v>
                </c:pt>
                <c:pt idx="20">
                  <c:v>6008.343638104871</c:v>
                </c:pt>
                <c:pt idx="21">
                  <c:v>5785.416143548941</c:v>
                </c:pt>
                <c:pt idx="22">
                  <c:v>5556.107742011111</c:v>
                </c:pt>
                <c:pt idx="23">
                  <c:v>5300.183312593648</c:v>
                </c:pt>
                <c:pt idx="24">
                  <c:v>5049.318143847146</c:v>
                </c:pt>
                <c:pt idx="25">
                  <c:v>4839.32318724699</c:v>
                </c:pt>
                <c:pt idx="26">
                  <c:v>4605.693382240894</c:v>
                </c:pt>
                <c:pt idx="27">
                  <c:v>4412.701735751952</c:v>
                </c:pt>
                <c:pt idx="28">
                  <c:v>4204.294192812351</c:v>
                </c:pt>
                <c:pt idx="29">
                  <c:v>4021.855055806348</c:v>
                </c:pt>
                <c:pt idx="30">
                  <c:v>3805.48395224416</c:v>
                </c:pt>
                <c:pt idx="31">
                  <c:v>3633.611453224243</c:v>
                </c:pt>
                <c:pt idx="32">
                  <c:v>3442.37515662528</c:v>
                </c:pt>
                <c:pt idx="33">
                  <c:v>3251.379042377058</c:v>
                </c:pt>
                <c:pt idx="34">
                  <c:v>3083.992381351757</c:v>
                </c:pt>
                <c:pt idx="35">
                  <c:v>2921.190478622952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857664"/>
        <c:axId val="1770905136"/>
      </c:scatterChart>
      <c:valAx>
        <c:axId val="177085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905136"/>
        <c:crosses val="autoZero"/>
        <c:crossBetween val="midCat"/>
      </c:valAx>
      <c:valAx>
        <c:axId val="177090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85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Main!$V$12</c:f>
              <c:strCache>
                <c:ptCount val="1"/>
                <c:pt idx="0">
                  <c:v>EPU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Main!$V$13:$V$48</c:f>
              <c:numCache>
                <c:formatCode>General</c:formatCode>
                <c:ptCount val="36"/>
                <c:pt idx="0">
                  <c:v>0.8</c:v>
                </c:pt>
                <c:pt idx="1">
                  <c:v>1.0</c:v>
                </c:pt>
                <c:pt idx="2">
                  <c:v>0.8</c:v>
                </c:pt>
                <c:pt idx="3">
                  <c:v>0.8</c:v>
                </c:pt>
                <c:pt idx="4">
                  <c:v>1.0</c:v>
                </c:pt>
                <c:pt idx="5">
                  <c:v>0.4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0.8</c:v>
                </c:pt>
                <c:pt idx="10">
                  <c:v>0.6</c:v>
                </c:pt>
                <c:pt idx="11">
                  <c:v>0.5</c:v>
                </c:pt>
                <c:pt idx="12">
                  <c:v>0.8</c:v>
                </c:pt>
                <c:pt idx="13">
                  <c:v>0.5</c:v>
                </c:pt>
                <c:pt idx="14">
                  <c:v>0.7</c:v>
                </c:pt>
                <c:pt idx="15">
                  <c:v>0.5</c:v>
                </c:pt>
                <c:pt idx="16">
                  <c:v>0.4</c:v>
                </c:pt>
                <c:pt idx="17">
                  <c:v>0.9</c:v>
                </c:pt>
                <c:pt idx="18">
                  <c:v>0.4</c:v>
                </c:pt>
                <c:pt idx="19">
                  <c:v>0.8</c:v>
                </c:pt>
                <c:pt idx="20">
                  <c:v>0.7</c:v>
                </c:pt>
                <c:pt idx="21">
                  <c:v>0.5</c:v>
                </c:pt>
                <c:pt idx="22">
                  <c:v>0.6</c:v>
                </c:pt>
                <c:pt idx="23">
                  <c:v>1.0</c:v>
                </c:pt>
                <c:pt idx="24">
                  <c:v>1.0</c:v>
                </c:pt>
                <c:pt idx="25">
                  <c:v>0.5</c:v>
                </c:pt>
                <c:pt idx="26">
                  <c:v>0.9</c:v>
                </c:pt>
                <c:pt idx="27">
                  <c:v>0.4</c:v>
                </c:pt>
                <c:pt idx="28">
                  <c:v>0.7</c:v>
                </c:pt>
                <c:pt idx="29">
                  <c:v>0.4</c:v>
                </c:pt>
                <c:pt idx="30">
                  <c:v>1.0</c:v>
                </c:pt>
                <c:pt idx="31">
                  <c:v>0.4</c:v>
                </c:pt>
                <c:pt idx="32">
                  <c:v>0.8</c:v>
                </c:pt>
                <c:pt idx="33">
                  <c:v>0.9</c:v>
                </c:pt>
                <c:pt idx="34">
                  <c:v>0.6</c:v>
                </c:pt>
                <c:pt idx="35">
                  <c:v>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860352"/>
        <c:axId val="1275114656"/>
      </c:scatterChart>
      <c:valAx>
        <c:axId val="171486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114656"/>
        <c:crosses val="autoZero"/>
        <c:crossBetween val="midCat"/>
      </c:valAx>
      <c:valAx>
        <c:axId val="127511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86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Main!$W$12</c:f>
              <c:strCache>
                <c:ptCount val="1"/>
                <c:pt idx="0">
                  <c:v>DPOR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Main!$W$13:$W$48</c:f>
              <c:numCache>
                <c:formatCode>General</c:formatCode>
                <c:ptCount val="36"/>
                <c:pt idx="0">
                  <c:v>0.00793411788239662</c:v>
                </c:pt>
                <c:pt idx="1">
                  <c:v>0.00983349941828685</c:v>
                </c:pt>
                <c:pt idx="2">
                  <c:v>0.00779801364688103</c:v>
                </c:pt>
                <c:pt idx="3">
                  <c:v>0.00772772822677965</c:v>
                </c:pt>
                <c:pt idx="4">
                  <c:v>0.00956988823065008</c:v>
                </c:pt>
                <c:pt idx="5">
                  <c:v>0.00379126365882961</c:v>
                </c:pt>
                <c:pt idx="6">
                  <c:v>0.00469221518473801</c:v>
                </c:pt>
                <c:pt idx="7">
                  <c:v>0.00650206081316846</c:v>
                </c:pt>
                <c:pt idx="8">
                  <c:v>0.00459539920428041</c:v>
                </c:pt>
                <c:pt idx="9">
                  <c:v>0.00727264413349057</c:v>
                </c:pt>
                <c:pt idx="10">
                  <c:v>0.00539317924349797</c:v>
                </c:pt>
                <c:pt idx="11">
                  <c:v>0.0044421158023364</c:v>
                </c:pt>
                <c:pt idx="12">
                  <c:v>0.00702204416532036</c:v>
                </c:pt>
                <c:pt idx="13">
                  <c:v>0.0043342766315756</c:v>
                </c:pt>
                <c:pt idx="14">
                  <c:v>0.00599002255409857</c:v>
                </c:pt>
                <c:pt idx="15">
                  <c:v>0.00422168442348212</c:v>
                </c:pt>
                <c:pt idx="16">
                  <c:v>0.00333083265632953</c:v>
                </c:pt>
                <c:pt idx="17">
                  <c:v>0.0073874334362306</c:v>
                </c:pt>
                <c:pt idx="18">
                  <c:v>0.00323473871237183</c:v>
                </c:pt>
                <c:pt idx="19">
                  <c:v>0.0063702299149997</c:v>
                </c:pt>
                <c:pt idx="20">
                  <c:v>0.0054852164583504</c:v>
                </c:pt>
                <c:pt idx="21">
                  <c:v>0.00385324808874249</c:v>
                </c:pt>
                <c:pt idx="22">
                  <c:v>0.00454448708828995</c:v>
                </c:pt>
                <c:pt idx="23">
                  <c:v>0.00743890886435356</c:v>
                </c:pt>
                <c:pt idx="24">
                  <c:v>0.00730072443059224</c:v>
                </c:pt>
                <c:pt idx="25">
                  <c:v>0.00357976378808746</c:v>
                </c:pt>
                <c:pt idx="26">
                  <c:v>0.00631372736729818</c:v>
                </c:pt>
                <c:pt idx="27">
                  <c:v>0.00274713299626732</c:v>
                </c:pt>
                <c:pt idx="28">
                  <c:v>0.00470203901437246</c:v>
                </c:pt>
                <c:pt idx="29">
                  <c:v>0.00262531234970447</c:v>
                </c:pt>
                <c:pt idx="30">
                  <c:v>0.00640600775031584</c:v>
                </c:pt>
                <c:pt idx="31">
                  <c:v>0.0024981224289074</c:v>
                </c:pt>
                <c:pt idx="32">
                  <c:v>0.00486488087811178</c:v>
                </c:pt>
                <c:pt idx="33">
                  <c:v>0.00532198480910764</c:v>
                </c:pt>
                <c:pt idx="34">
                  <c:v>0.00344512446376159</c:v>
                </c:pt>
                <c:pt idx="35">
                  <c:v>0.00334001658886906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351424"/>
        <c:axId val="1695921936"/>
      </c:scatterChart>
      <c:valAx>
        <c:axId val="133935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921936"/>
        <c:crosses val="autoZero"/>
        <c:crossBetween val="midCat"/>
      </c:valAx>
      <c:valAx>
        <c:axId val="169592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35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Main!$X$12</c:f>
              <c:strCache>
                <c:ptCount val="1"/>
                <c:pt idx="0">
                  <c:v>SMM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Main!$X$13:$X$48</c:f>
              <c:numCache>
                <c:formatCode>General</c:formatCode>
                <c:ptCount val="36"/>
                <c:pt idx="0">
                  <c:v>0.008</c:v>
                </c:pt>
                <c:pt idx="1">
                  <c:v>0.0100806196303814</c:v>
                </c:pt>
                <c:pt idx="2">
                  <c:v>0.00814656119157496</c:v>
                </c:pt>
                <c:pt idx="3">
                  <c:v>0.00821335193090854</c:v>
                </c:pt>
                <c:pt idx="4">
                  <c:v>0.0103525342407029</c:v>
                </c:pt>
                <c:pt idx="5">
                  <c:v>0.0041850505729576</c:v>
                </c:pt>
                <c:pt idx="6">
                  <c:v>0.00525579566455739</c:v>
                </c:pt>
                <c:pt idx="7">
                  <c:v>0.00740273592742311</c:v>
                </c:pt>
                <c:pt idx="8">
                  <c:v>0.00533402535694561</c:v>
                </c:pt>
                <c:pt idx="9">
                  <c:v>0.00859680498011224</c:v>
                </c:pt>
                <c:pt idx="10">
                  <c:v>0.00652180152503204</c:v>
                </c:pt>
                <c:pt idx="11">
                  <c:v>0.00549076916609474</c:v>
                </c:pt>
                <c:pt idx="12">
                  <c:v>0.00887652775558692</c:v>
                </c:pt>
                <c:pt idx="13">
                  <c:v>0.00563131956329639</c:v>
                </c:pt>
                <c:pt idx="14">
                  <c:v>0.00798604924043885</c:v>
                </c:pt>
                <c:pt idx="15">
                  <c:v>0.00579867686756432</c:v>
                </c:pt>
                <c:pt idx="16">
                  <c:v>0.0047108934004315</c:v>
                </c:pt>
                <c:pt idx="17">
                  <c:v>0.0107640487963471</c:v>
                </c:pt>
                <c:pt idx="18">
                  <c:v>0.00489278186471844</c:v>
                </c:pt>
                <c:pt idx="19">
                  <c:v>0.00995854545966545</c:v>
                </c:pt>
                <c:pt idx="20">
                  <c:v>0.00892041051017097</c:v>
                </c:pt>
                <c:pt idx="21">
                  <c:v>0.00652070005534753</c:v>
                </c:pt>
                <c:pt idx="22">
                  <c:v>0.00799199535991763</c:v>
                </c:pt>
                <c:pt idx="23">
                  <c:v>0.0136314771743712</c:v>
                </c:pt>
                <c:pt idx="24">
                  <c:v>0.0140344852583862</c:v>
                </c:pt>
                <c:pt idx="25">
                  <c:v>0.00722902062369443</c:v>
                </c:pt>
                <c:pt idx="26">
                  <c:v>0.0133142521267932</c:v>
                </c:pt>
                <c:pt idx="27">
                  <c:v>0.00609229524826403</c:v>
                </c:pt>
                <c:pt idx="28">
                  <c:v>0.010893917909628</c:v>
                </c:pt>
                <c:pt idx="29">
                  <c:v>0.00639034295770188</c:v>
                </c:pt>
                <c:pt idx="30">
                  <c:v>0.0163178089492435</c:v>
                </c:pt>
                <c:pt idx="31">
                  <c:v>0.00673290939944763</c:v>
                </c:pt>
                <c:pt idx="32">
                  <c:v>0.0137489220954046</c:v>
                </c:pt>
                <c:pt idx="33">
                  <c:v>0.0158974636270352</c:v>
                </c:pt>
                <c:pt idx="34">
                  <c:v>0.0109112305231034</c:v>
                </c:pt>
                <c:pt idx="35">
                  <c:v>0.0111698727066359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812352"/>
        <c:axId val="1700151632"/>
      </c:scatterChart>
      <c:valAx>
        <c:axId val="169581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51632"/>
        <c:crosses val="autoZero"/>
        <c:crossBetween val="midCat"/>
      </c:valAx>
      <c:valAx>
        <c:axId val="170015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1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Main!$Y$12</c:f>
              <c:strCache>
                <c:ptCount val="1"/>
                <c:pt idx="0">
                  <c:v>CPR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Main!$Y$13:$Y$48</c:f>
              <c:numCache>
                <c:formatCode>General</c:formatCode>
                <c:ptCount val="36"/>
                <c:pt idx="0">
                  <c:v>0.0918866381916877</c:v>
                </c:pt>
                <c:pt idx="1">
                  <c:v>0.114480922507109</c:v>
                </c:pt>
                <c:pt idx="2">
                  <c:v>0.0934953407602938</c:v>
                </c:pt>
                <c:pt idx="3">
                  <c:v>0.0942275904434596</c:v>
                </c:pt>
                <c:pt idx="4">
                  <c:v>0.117395367582539</c:v>
                </c:pt>
                <c:pt idx="5">
                  <c:v>0.0490806151835654</c:v>
                </c:pt>
                <c:pt idx="6">
                  <c:v>0.0612779700428981</c:v>
                </c:pt>
                <c:pt idx="7">
                  <c:v>0.0853037773025563</c:v>
                </c:pt>
                <c:pt idx="8">
                  <c:v>0.0621634742348048</c:v>
                </c:pt>
                <c:pt idx="9">
                  <c:v>0.0984210356412508</c:v>
                </c:pt>
                <c:pt idx="10">
                  <c:v>0.075514522452037</c:v>
                </c:pt>
                <c:pt idx="11">
                  <c:v>0.0639353984750719</c:v>
                </c:pt>
                <c:pt idx="12">
                  <c:v>0.101468851304871</c:v>
                </c:pt>
                <c:pt idx="13">
                  <c:v>0.0655216526561216</c:v>
                </c:pt>
                <c:pt idx="14">
                  <c:v>0.0917333738635975</c:v>
                </c:pt>
                <c:pt idx="15">
                  <c:v>0.0674072360572985</c:v>
                </c:pt>
                <c:pt idx="16">
                  <c:v>0.0550887729913555</c:v>
                </c:pt>
                <c:pt idx="17">
                  <c:v>0.121789358346668</c:v>
                </c:pt>
                <c:pt idx="18">
                  <c:v>0.0571588747215528</c:v>
                </c:pt>
                <c:pt idx="19">
                  <c:v>0.113169635665601</c:v>
                </c:pt>
                <c:pt idx="20">
                  <c:v>0.101946132965958</c:v>
                </c:pt>
                <c:pt idx="21">
                  <c:v>0.0755022226479158</c:v>
                </c:pt>
                <c:pt idx="22">
                  <c:v>0.0917987013784024</c:v>
                </c:pt>
                <c:pt idx="23">
                  <c:v>0.15185432016695</c:v>
                </c:pt>
                <c:pt idx="24">
                  <c:v>0.15600338814047</c:v>
                </c:pt>
                <c:pt idx="25">
                  <c:v>0.083380945861119</c:v>
                </c:pt>
                <c:pt idx="26">
                  <c:v>0.148575268099845</c:v>
                </c:pt>
                <c:pt idx="27">
                  <c:v>0.0707069544553434</c:v>
                </c:pt>
                <c:pt idx="28">
                  <c:v>0.123171881349789</c:v>
                </c:pt>
                <c:pt idx="29">
                  <c:v>0.0740455015222081</c:v>
                </c:pt>
                <c:pt idx="30">
                  <c:v>0.179161522870407</c:v>
                </c:pt>
                <c:pt idx="31">
                  <c:v>0.0778691375669046</c:v>
                </c:pt>
                <c:pt idx="32">
                  <c:v>0.153065370929987</c:v>
                </c:pt>
                <c:pt idx="33">
                  <c:v>0.174942505466202</c:v>
                </c:pt>
                <c:pt idx="34">
                  <c:v>0.12335603217399</c:v>
                </c:pt>
                <c:pt idx="35">
                  <c:v>0.126102939858874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866176"/>
        <c:axId val="1660199040"/>
      </c:scatterChart>
      <c:valAx>
        <c:axId val="16988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199040"/>
        <c:crosses val="autoZero"/>
        <c:crossBetween val="midCat"/>
      </c:valAx>
      <c:valAx>
        <c:axId val="166019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6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Main!$Z$12</c:f>
              <c:strCache>
                <c:ptCount val="1"/>
                <c:pt idx="0">
                  <c:v>ECU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Main!$Z$13:$Z$48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0.01</c:v>
                </c:pt>
                <c:pt idx="4">
                  <c:v>0.02</c:v>
                </c:pt>
                <c:pt idx="5">
                  <c:v>0.05</c:v>
                </c:pt>
                <c:pt idx="6">
                  <c:v>0.08</c:v>
                </c:pt>
                <c:pt idx="7">
                  <c:v>0.13</c:v>
                </c:pt>
                <c:pt idx="8">
                  <c:v>0.19</c:v>
                </c:pt>
                <c:pt idx="9">
                  <c:v>0.27</c:v>
                </c:pt>
                <c:pt idx="10">
                  <c:v>0.35</c:v>
                </c:pt>
                <c:pt idx="11">
                  <c:v>0.45</c:v>
                </c:pt>
                <c:pt idx="12">
                  <c:v>0.55</c:v>
                </c:pt>
                <c:pt idx="13">
                  <c:v>0.65</c:v>
                </c:pt>
                <c:pt idx="14">
                  <c:v>0.74</c:v>
                </c:pt>
                <c:pt idx="15">
                  <c:v>0.83</c:v>
                </c:pt>
                <c:pt idx="16">
                  <c:v>0.91</c:v>
                </c:pt>
                <c:pt idx="17">
                  <c:v>0.97</c:v>
                </c:pt>
                <c:pt idx="18">
                  <c:v>1.03</c:v>
                </c:pt>
                <c:pt idx="19">
                  <c:v>1.07</c:v>
                </c:pt>
                <c:pt idx="20">
                  <c:v>1.1</c:v>
                </c:pt>
                <c:pt idx="21">
                  <c:v>1.11</c:v>
                </c:pt>
                <c:pt idx="22">
                  <c:v>1.12</c:v>
                </c:pt>
                <c:pt idx="23">
                  <c:v>1.11</c:v>
                </c:pt>
                <c:pt idx="24">
                  <c:v>1.09</c:v>
                </c:pt>
                <c:pt idx="25">
                  <c:v>1.07</c:v>
                </c:pt>
                <c:pt idx="26">
                  <c:v>1.04</c:v>
                </c:pt>
                <c:pt idx="27">
                  <c:v>1.0</c:v>
                </c:pt>
                <c:pt idx="28">
                  <c:v>0.96</c:v>
                </c:pt>
                <c:pt idx="29">
                  <c:v>0.91</c:v>
                </c:pt>
                <c:pt idx="30">
                  <c:v>0.87</c:v>
                </c:pt>
                <c:pt idx="31">
                  <c:v>0.82</c:v>
                </c:pt>
                <c:pt idx="32">
                  <c:v>0.77</c:v>
                </c:pt>
                <c:pt idx="33">
                  <c:v>0.72</c:v>
                </c:pt>
                <c:pt idx="34">
                  <c:v>0.67</c:v>
                </c:pt>
                <c:pt idx="35">
                  <c:v>0.63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974720"/>
        <c:axId val="1700410656"/>
      </c:scatterChart>
      <c:valAx>
        <c:axId val="165997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410656"/>
        <c:crosses val="autoZero"/>
        <c:crossBetween val="midCat"/>
      </c:valAx>
      <c:valAx>
        <c:axId val="17004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97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Main!$AA$12</c:f>
              <c:strCache>
                <c:ptCount val="1"/>
                <c:pt idx="0">
                  <c:v>DCOR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Main!$AA$13:$AA$48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0.0001</c:v>
                </c:pt>
                <c:pt idx="4">
                  <c:v>0.0002</c:v>
                </c:pt>
                <c:pt idx="5">
                  <c:v>0.000495882367649789</c:v>
                </c:pt>
                <c:pt idx="6">
                  <c:v>0.000786679953462948</c:v>
                </c:pt>
                <c:pt idx="7">
                  <c:v>0.00126717721761817</c:v>
                </c:pt>
                <c:pt idx="8">
                  <c:v>0.00183533545386017</c:v>
                </c:pt>
                <c:pt idx="9">
                  <c:v>0.00258386982227552</c:v>
                </c:pt>
                <c:pt idx="10">
                  <c:v>0.00331735570147591</c:v>
                </c:pt>
                <c:pt idx="11">
                  <c:v>0.00422299366626421</c:v>
                </c:pt>
                <c:pt idx="12">
                  <c:v>0.0051087620674895</c:v>
                </c:pt>
                <c:pt idx="13">
                  <c:v>0.00597401896556453</c:v>
                </c:pt>
                <c:pt idx="14">
                  <c:v>0.00672719582347878</c:v>
                </c:pt>
                <c:pt idx="15">
                  <c:v>0.00746056462017218</c:v>
                </c:pt>
                <c:pt idx="16">
                  <c:v>0.00808465076025226</c:v>
                </c:pt>
                <c:pt idx="17">
                  <c:v>0.00851422855045094</c:v>
                </c:pt>
                <c:pt idx="18">
                  <c:v>0.00892860986104574</c:v>
                </c:pt>
                <c:pt idx="19">
                  <c:v>0.00915617733269353</c:v>
                </c:pt>
                <c:pt idx="20">
                  <c:v>0.00928770573166065</c:v>
                </c:pt>
                <c:pt idx="21">
                  <c:v>0.00924306062131445</c:v>
                </c:pt>
                <c:pt idx="22">
                  <c:v>0.00919325049842031</c:v>
                </c:pt>
                <c:pt idx="23">
                  <c:v>0.00897639992683184</c:v>
                </c:pt>
                <c:pt idx="24">
                  <c:v>0.00867943825918709</c:v>
                </c:pt>
                <c:pt idx="25">
                  <c:v>0.00838454515776418</c:v>
                </c:pt>
                <c:pt idx="26">
                  <c:v>0.00801475602458437</c:v>
                </c:pt>
                <c:pt idx="27">
                  <c:v>0.00757414514714992</c:v>
                </c:pt>
                <c:pt idx="28">
                  <c:v>0.00714135250977942</c:v>
                </c:pt>
                <c:pt idx="29">
                  <c:v>0.00664365923183894</c:v>
                </c:pt>
                <c:pt idx="30">
                  <c:v>0.00622878899127219</c:v>
                </c:pt>
                <c:pt idx="31">
                  <c:v>0.00575250715687168</c:v>
                </c:pt>
                <c:pt idx="32">
                  <c:v>0.0052882310178146</c:v>
                </c:pt>
                <c:pt idx="33">
                  <c:v>0.00483638298621167</c:v>
                </c:pt>
                <c:pt idx="34">
                  <c:v>0.00439739818575498</c:v>
                </c:pt>
                <c:pt idx="35">
                  <c:v>0.00403578488269898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529552"/>
        <c:axId val="1698985712"/>
      </c:scatterChart>
      <c:valAx>
        <c:axId val="169952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985712"/>
        <c:crosses val="autoZero"/>
        <c:crossBetween val="midCat"/>
      </c:valAx>
      <c:valAx>
        <c:axId val="16989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52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Main!$AB$12</c:f>
              <c:strCache>
                <c:ptCount val="1"/>
                <c:pt idx="0">
                  <c:v>MDR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Main!$AB$13:$AB$48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0.000105326229336356</c:v>
                </c:pt>
                <c:pt idx="4">
                  <c:v>0.000214345818053395</c:v>
                </c:pt>
                <c:pt idx="5">
                  <c:v>0.000542141784549561</c:v>
                </c:pt>
                <c:pt idx="6">
                  <c:v>0.00087245521917747</c:v>
                </c:pt>
                <c:pt idx="7">
                  <c:v>0.00142798806466627</c:v>
                </c:pt>
                <c:pt idx="8">
                  <c:v>0.00210789462965047</c:v>
                </c:pt>
                <c:pt idx="9">
                  <c:v>0.00302110902240299</c:v>
                </c:pt>
                <c:pt idx="10">
                  <c:v>0.00396651064898483</c:v>
                </c:pt>
                <c:pt idx="11">
                  <c:v>0.005159331556558</c:v>
                </c:pt>
                <c:pt idx="12">
                  <c:v>0.00638047912278676</c:v>
                </c:pt>
                <c:pt idx="13">
                  <c:v>0.00766546686154056</c:v>
                </c:pt>
                <c:pt idx="14">
                  <c:v>0.00885376395253594</c:v>
                </c:pt>
                <c:pt idx="15">
                  <c:v>0.0101113231670291</c:v>
                </c:pt>
                <c:pt idx="16">
                  <c:v>0.0112771125914753</c:v>
                </c:pt>
                <c:pt idx="17">
                  <c:v>0.012229145986922</c:v>
                </c:pt>
                <c:pt idx="18">
                  <c:v>0.0133057900643152</c:v>
                </c:pt>
                <c:pt idx="19">
                  <c:v>0.0140946541538699</c:v>
                </c:pt>
                <c:pt idx="20">
                  <c:v>0.0148643272304033</c:v>
                </c:pt>
                <c:pt idx="21">
                  <c:v>0.0153837083529894</c:v>
                </c:pt>
                <c:pt idx="22">
                  <c:v>0.0158903876062075</c:v>
                </c:pt>
                <c:pt idx="23">
                  <c:v>0.0161559140744501</c:v>
                </c:pt>
                <c:pt idx="24">
                  <c:v>0.0163757322101748</c:v>
                </c:pt>
                <c:pt idx="25">
                  <c:v>0.0166053017831352</c:v>
                </c:pt>
                <c:pt idx="26">
                  <c:v>0.0165617292221887</c:v>
                </c:pt>
                <c:pt idx="27">
                  <c:v>0.016445178865695</c:v>
                </c:pt>
                <c:pt idx="28">
                  <c:v>0.0161836283923742</c:v>
                </c:pt>
                <c:pt idx="29">
                  <c:v>0.0158020797954551</c:v>
                </c:pt>
                <c:pt idx="30">
                  <c:v>0.0154873532358649</c:v>
                </c:pt>
                <c:pt idx="31">
                  <c:v>0.0151163616219675</c:v>
                </c:pt>
                <c:pt idx="32">
                  <c:v>0.0145536502344579</c:v>
                </c:pt>
                <c:pt idx="33">
                  <c:v>0.0140495523182691</c:v>
                </c:pt>
                <c:pt idx="34">
                  <c:v>0.013524717138301</c:v>
                </c:pt>
                <c:pt idx="35">
                  <c:v>0.0130862349307427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937872"/>
        <c:axId val="1660357200"/>
      </c:scatterChart>
      <c:valAx>
        <c:axId val="133993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357200"/>
        <c:crosses val="autoZero"/>
        <c:crossBetween val="midCat"/>
      </c:valAx>
      <c:valAx>
        <c:axId val="16603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93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Main!$AC$12</c:f>
              <c:strCache>
                <c:ptCount val="1"/>
                <c:pt idx="0">
                  <c:v>CDR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Main!$AC$13:$AC$48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0.00126318283047122</c:v>
                </c:pt>
                <c:pt idx="4">
                  <c:v>0.0025691196695794</c:v>
                </c:pt>
                <c:pt idx="5">
                  <c:v>0.00648633785862595</c:v>
                </c:pt>
                <c:pt idx="6">
                  <c:v>0.0104193706891443</c:v>
                </c:pt>
                <c:pt idx="7">
                  <c:v>0.01700191144215</c:v>
                </c:pt>
                <c:pt idx="8">
                  <c:v>0.0250035337960923</c:v>
                </c:pt>
                <c:pt idx="9">
                  <c:v>0.0356569449220685</c:v>
                </c:pt>
                <c:pt idx="10">
                  <c:v>0.04657334369359</c:v>
                </c:pt>
                <c:pt idx="11">
                  <c:v>0.0601850101186249</c:v>
                </c:pt>
                <c:pt idx="12">
                  <c:v>0.073935189055527</c:v>
                </c:pt>
                <c:pt idx="13">
                  <c:v>0.0882048868001893</c:v>
                </c:pt>
                <c:pt idx="14">
                  <c:v>0.101221173948808</c:v>
                </c:pt>
                <c:pt idx="15">
                  <c:v>0.114810451522019</c:v>
                </c:pt>
                <c:pt idx="16">
                  <c:v>0.127239564693809</c:v>
                </c:pt>
                <c:pt idx="17">
                  <c:v>0.137270818115624</c:v>
                </c:pt>
                <c:pt idx="18">
                  <c:v>0.148487639602344</c:v>
                </c:pt>
                <c:pt idx="19">
                  <c:v>0.156621243050125</c:v>
                </c:pt>
                <c:pt idx="20">
                  <c:v>0.164488278159233</c:v>
                </c:pt>
                <c:pt idx="21">
                  <c:v>0.169758937811872</c:v>
                </c:pt>
                <c:pt idx="22">
                  <c:v>0.174871313434669</c:v>
                </c:pt>
                <c:pt idx="23">
                  <c:v>0.177538926869382</c:v>
                </c:pt>
                <c:pt idx="24">
                  <c:v>0.17974134728715</c:v>
                </c:pt>
                <c:pt idx="25">
                  <c:v>0.182035697711894</c:v>
                </c:pt>
                <c:pt idx="26">
                  <c:v>0.181600680281702</c:v>
                </c:pt>
                <c:pt idx="27">
                  <c:v>0.180436028462503</c:v>
                </c:pt>
                <c:pt idx="28">
                  <c:v>0.17781690282282</c:v>
                </c:pt>
                <c:pt idx="29">
                  <c:v>0.173982372454707</c:v>
                </c:pt>
                <c:pt idx="30">
                  <c:v>0.170807067160761</c:v>
                </c:pt>
                <c:pt idx="31">
                  <c:v>0.167049732081955</c:v>
                </c:pt>
                <c:pt idx="32">
                  <c:v>0.161320897433535</c:v>
                </c:pt>
                <c:pt idx="33">
                  <c:v>0.156158145829869</c:v>
                </c:pt>
                <c:pt idx="34">
                  <c:v>0.15075207105581</c:v>
                </c:pt>
                <c:pt idx="35">
                  <c:v>0.146211154598847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229664"/>
        <c:axId val="1608039872"/>
      </c:scatterChart>
      <c:valAx>
        <c:axId val="160822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039872"/>
        <c:crosses val="autoZero"/>
        <c:crossBetween val="midCat"/>
      </c:valAx>
      <c:valAx>
        <c:axId val="160803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22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20" Type="http://schemas.openxmlformats.org/officeDocument/2006/relationships/chart" Target="../charts/chart20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2</xdr:col>
          <xdr:colOff>863600</xdr:colOff>
          <xdr:row>8</xdr:row>
          <xdr:rowOff>101600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Calculate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410633</xdr:colOff>
      <xdr:row>79</xdr:row>
      <xdr:rowOff>0</xdr:rowOff>
    </xdr:from>
    <xdr:to>
      <xdr:col>5</xdr:col>
      <xdr:colOff>1045633</xdr:colOff>
      <xdr:row>92</xdr:row>
      <xdr:rowOff>95955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1215672</xdr:colOff>
      <xdr:row>79</xdr:row>
      <xdr:rowOff>26812</xdr:rowOff>
    </xdr:from>
    <xdr:to>
      <xdr:col>10</xdr:col>
      <xdr:colOff>174272</xdr:colOff>
      <xdr:row>92</xdr:row>
      <xdr:rowOff>122767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368300</xdr:colOff>
      <xdr:row>79</xdr:row>
      <xdr:rowOff>12700</xdr:rowOff>
    </xdr:from>
    <xdr:to>
      <xdr:col>15</xdr:col>
      <xdr:colOff>812800</xdr:colOff>
      <xdr:row>92</xdr:row>
      <xdr:rowOff>114300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412750</xdr:colOff>
      <xdr:row>93</xdr:row>
      <xdr:rowOff>50800</xdr:rowOff>
    </xdr:from>
    <xdr:to>
      <xdr:col>5</xdr:col>
      <xdr:colOff>1047750</xdr:colOff>
      <xdr:row>106</xdr:row>
      <xdr:rowOff>152400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1238250</xdr:colOff>
      <xdr:row>93</xdr:row>
      <xdr:rowOff>76200</xdr:rowOff>
    </xdr:from>
    <xdr:to>
      <xdr:col>10</xdr:col>
      <xdr:colOff>196850</xdr:colOff>
      <xdr:row>106</xdr:row>
      <xdr:rowOff>177800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374650</xdr:colOff>
      <xdr:row>93</xdr:row>
      <xdr:rowOff>63500</xdr:rowOff>
    </xdr:from>
    <xdr:to>
      <xdr:col>15</xdr:col>
      <xdr:colOff>819150</xdr:colOff>
      <xdr:row>106</xdr:row>
      <xdr:rowOff>165100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412750</xdr:colOff>
      <xdr:row>107</xdr:row>
      <xdr:rowOff>177800</xdr:rowOff>
    </xdr:from>
    <xdr:to>
      <xdr:col>5</xdr:col>
      <xdr:colOff>1047750</xdr:colOff>
      <xdr:row>121</xdr:row>
      <xdr:rowOff>76200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1200150</xdr:colOff>
      <xdr:row>107</xdr:row>
      <xdr:rowOff>190500</xdr:rowOff>
    </xdr:from>
    <xdr:to>
      <xdr:col>10</xdr:col>
      <xdr:colOff>158750</xdr:colOff>
      <xdr:row>121</xdr:row>
      <xdr:rowOff>88900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374650</xdr:colOff>
      <xdr:row>107</xdr:row>
      <xdr:rowOff>165100</xdr:rowOff>
    </xdr:from>
    <xdr:to>
      <xdr:col>15</xdr:col>
      <xdr:colOff>819150</xdr:colOff>
      <xdr:row>121</xdr:row>
      <xdr:rowOff>63500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463550</xdr:colOff>
      <xdr:row>122</xdr:row>
      <xdr:rowOff>101600</xdr:rowOff>
    </xdr:from>
    <xdr:to>
      <xdr:col>5</xdr:col>
      <xdr:colOff>1098550</xdr:colOff>
      <xdr:row>136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1212850</xdr:colOff>
      <xdr:row>122</xdr:row>
      <xdr:rowOff>101600</xdr:rowOff>
    </xdr:from>
    <xdr:to>
      <xdr:col>10</xdr:col>
      <xdr:colOff>171450</xdr:colOff>
      <xdr:row>136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387350</xdr:colOff>
      <xdr:row>122</xdr:row>
      <xdr:rowOff>63500</xdr:rowOff>
    </xdr:from>
    <xdr:to>
      <xdr:col>16</xdr:col>
      <xdr:colOff>6350</xdr:colOff>
      <xdr:row>135</xdr:row>
      <xdr:rowOff>165100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479879</xdr:colOff>
      <xdr:row>137</xdr:row>
      <xdr:rowOff>43543</xdr:rowOff>
    </xdr:from>
    <xdr:to>
      <xdr:col>5</xdr:col>
      <xdr:colOff>1136651</xdr:colOff>
      <xdr:row>150</xdr:row>
      <xdr:rowOff>145144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1242787</xdr:colOff>
      <xdr:row>137</xdr:row>
      <xdr:rowOff>43545</xdr:rowOff>
    </xdr:from>
    <xdr:to>
      <xdr:col>10</xdr:col>
      <xdr:colOff>172359</xdr:colOff>
      <xdr:row>150</xdr:row>
      <xdr:rowOff>192317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408215</xdr:colOff>
      <xdr:row>137</xdr:row>
      <xdr:rowOff>7256</xdr:rowOff>
    </xdr:from>
    <xdr:to>
      <xdr:col>15</xdr:col>
      <xdr:colOff>807357</xdr:colOff>
      <xdr:row>150</xdr:row>
      <xdr:rowOff>156028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27215</xdr:colOff>
      <xdr:row>151</xdr:row>
      <xdr:rowOff>134256</xdr:rowOff>
    </xdr:from>
    <xdr:to>
      <xdr:col>5</xdr:col>
      <xdr:colOff>1133929</xdr:colOff>
      <xdr:row>165</xdr:row>
      <xdr:rowOff>83456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1279071</xdr:colOff>
      <xdr:row>152</xdr:row>
      <xdr:rowOff>7257</xdr:rowOff>
    </xdr:from>
    <xdr:to>
      <xdr:col>10</xdr:col>
      <xdr:colOff>208643</xdr:colOff>
      <xdr:row>165</xdr:row>
      <xdr:rowOff>156028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426359</xdr:colOff>
      <xdr:row>151</xdr:row>
      <xdr:rowOff>134256</xdr:rowOff>
    </xdr:from>
    <xdr:to>
      <xdr:col>15</xdr:col>
      <xdr:colOff>825501</xdr:colOff>
      <xdr:row>165</xdr:row>
      <xdr:rowOff>83456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27213</xdr:colOff>
      <xdr:row>166</xdr:row>
      <xdr:rowOff>43543</xdr:rowOff>
    </xdr:from>
    <xdr:to>
      <xdr:col>5</xdr:col>
      <xdr:colOff>1133927</xdr:colOff>
      <xdr:row>179</xdr:row>
      <xdr:rowOff>192314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1260928</xdr:colOff>
      <xdr:row>166</xdr:row>
      <xdr:rowOff>61687</xdr:rowOff>
    </xdr:from>
    <xdr:to>
      <xdr:col>10</xdr:col>
      <xdr:colOff>190500</xdr:colOff>
      <xdr:row>180</xdr:row>
      <xdr:rowOff>10887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E72"/>
  <sheetViews>
    <sheetView showGridLines="0" tabSelected="1" zoomScale="90" zoomScaleNormal="90" workbookViewId="0">
      <selection activeCell="F5" sqref="F5"/>
    </sheetView>
  </sheetViews>
  <sheetFormatPr baseColWidth="10" defaultRowHeight="16" x14ac:dyDescent="0.2"/>
  <cols>
    <col min="1" max="1" width="6.5" customWidth="1"/>
    <col min="3" max="3" width="12.6640625" bestFit="1" customWidth="1"/>
    <col min="6" max="6" width="20" bestFit="1" customWidth="1"/>
    <col min="9" max="9" width="21.1640625" bestFit="1" customWidth="1"/>
    <col min="17" max="17" width="14" customWidth="1"/>
  </cols>
  <sheetData>
    <row r="1" spans="1:3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7"/>
      <c r="O1" s="7"/>
      <c r="P1" s="7"/>
      <c r="Q1" s="6"/>
      <c r="R1" s="39"/>
      <c r="S1" s="39"/>
      <c r="T1" s="39"/>
      <c r="U1" s="6"/>
      <c r="V1" s="6"/>
      <c r="W1" s="6"/>
      <c r="X1" s="6"/>
      <c r="Y1" s="6"/>
      <c r="Z1" s="6"/>
      <c r="AA1" s="6"/>
      <c r="AB1" s="6"/>
      <c r="AC1" s="6"/>
    </row>
    <row r="2" spans="1:31" ht="17" thickBot="1" x14ac:dyDescent="0.25">
      <c r="A2" s="6"/>
      <c r="B2" s="6"/>
      <c r="C2" s="66" t="s">
        <v>107</v>
      </c>
      <c r="D2" s="6"/>
      <c r="E2" s="6"/>
      <c r="F2" s="67" t="s">
        <v>108</v>
      </c>
      <c r="G2" s="6"/>
      <c r="H2" s="6"/>
      <c r="I2" s="6"/>
      <c r="J2" s="6"/>
      <c r="K2" s="6"/>
      <c r="L2" s="67" t="s">
        <v>110</v>
      </c>
      <c r="M2" s="6"/>
      <c r="N2" s="7"/>
      <c r="O2" s="7"/>
      <c r="P2" s="7"/>
      <c r="Q2" s="6"/>
      <c r="R2" s="39"/>
      <c r="S2" s="39"/>
      <c r="T2" s="39"/>
      <c r="U2" s="6"/>
      <c r="V2" s="67" t="s">
        <v>111</v>
      </c>
      <c r="W2" s="6"/>
      <c r="X2" s="6"/>
      <c r="Y2" s="6"/>
      <c r="Z2" s="6"/>
      <c r="AA2" s="6"/>
      <c r="AB2" s="6"/>
      <c r="AC2" s="6"/>
    </row>
    <row r="3" spans="1:31" ht="17" thickBot="1" x14ac:dyDescent="0.25">
      <c r="A3" s="41">
        <v>36</v>
      </c>
      <c r="B3" s="68" t="s">
        <v>113</v>
      </c>
      <c r="C3" s="63" t="s">
        <v>16</v>
      </c>
      <c r="D3" s="43">
        <v>60</v>
      </c>
      <c r="E3" s="68" t="s">
        <v>113</v>
      </c>
      <c r="F3" s="63" t="s">
        <v>21</v>
      </c>
      <c r="G3" s="60">
        <v>2.8</v>
      </c>
      <c r="H3" s="32"/>
      <c r="I3" s="67" t="s">
        <v>109</v>
      </c>
      <c r="J3" s="6"/>
      <c r="K3" s="6"/>
      <c r="L3" s="52" t="s">
        <v>94</v>
      </c>
      <c r="M3" s="53"/>
      <c r="N3" s="53"/>
      <c r="O3" s="53"/>
      <c r="P3" s="53"/>
      <c r="Q3" s="53"/>
      <c r="R3" s="29" t="s">
        <v>56</v>
      </c>
      <c r="S3" s="29" t="s">
        <v>57</v>
      </c>
      <c r="T3" s="15" t="s">
        <v>58</v>
      </c>
      <c r="U3" s="6"/>
      <c r="V3" s="30" t="s">
        <v>102</v>
      </c>
      <c r="W3" s="31"/>
      <c r="X3" s="29" t="str">
        <f>R3</f>
        <v>IRR</v>
      </c>
      <c r="Y3" s="29" t="str">
        <f>S3</f>
        <v>Yield</v>
      </c>
      <c r="Z3" s="15" t="str">
        <f>T3</f>
        <v>NAR</v>
      </c>
      <c r="AA3" s="6"/>
      <c r="AB3" s="6"/>
      <c r="AC3" s="6"/>
    </row>
    <row r="4" spans="1:31" x14ac:dyDescent="0.2">
      <c r="A4" s="41">
        <v>60</v>
      </c>
      <c r="B4" s="68" t="s">
        <v>114</v>
      </c>
      <c r="C4" s="64" t="s">
        <v>17</v>
      </c>
      <c r="D4" s="42" t="s">
        <v>104</v>
      </c>
      <c r="E4" s="68" t="s">
        <v>114</v>
      </c>
      <c r="F4" s="64" t="s">
        <v>101</v>
      </c>
      <c r="G4" s="61">
        <v>2E-3</v>
      </c>
      <c r="H4" s="6"/>
      <c r="I4" s="17" t="s">
        <v>59</v>
      </c>
      <c r="J4" s="22">
        <v>0.21831500967926953</v>
      </c>
      <c r="K4" s="6"/>
      <c r="L4" s="58" t="s">
        <v>95</v>
      </c>
      <c r="M4" s="59"/>
      <c r="N4" s="59"/>
      <c r="O4" s="59"/>
      <c r="P4" s="59"/>
      <c r="Q4" s="59"/>
      <c r="R4" s="33">
        <v>0.17395251665442935</v>
      </c>
      <c r="S4" s="33">
        <v>0.16456242545032149</v>
      </c>
      <c r="T4" s="34">
        <v>0.17755972807302967</v>
      </c>
      <c r="U4" s="6"/>
      <c r="V4" s="50" t="s">
        <v>62</v>
      </c>
      <c r="W4" s="51"/>
      <c r="X4" s="27">
        <f>R4-R5</f>
        <v>1.5876727910368871E-3</v>
      </c>
      <c r="Y4" s="27">
        <f t="shared" ref="Y4:Z8" si="0">S4-S5</f>
        <v>1.6033213117390699E-3</v>
      </c>
      <c r="Z4" s="28">
        <f t="shared" si="0"/>
        <v>1.8611160842918473E-3</v>
      </c>
      <c r="AA4" s="6"/>
      <c r="AB4" s="6"/>
      <c r="AC4" s="6"/>
    </row>
    <row r="5" spans="1:31" x14ac:dyDescent="0.2">
      <c r="A5" s="6"/>
      <c r="B5" s="68"/>
      <c r="C5" s="64" t="s">
        <v>18</v>
      </c>
      <c r="D5" s="19">
        <v>0.2616</v>
      </c>
      <c r="E5" s="68" t="s">
        <v>115</v>
      </c>
      <c r="F5" s="64" t="s">
        <v>22</v>
      </c>
      <c r="G5" s="61">
        <v>0.01</v>
      </c>
      <c r="H5" s="6"/>
      <c r="I5" s="18" t="s">
        <v>60</v>
      </c>
      <c r="J5" s="23">
        <v>0.19757508375973892</v>
      </c>
      <c r="K5" s="6"/>
      <c r="L5" s="56" t="s">
        <v>96</v>
      </c>
      <c r="M5" s="57"/>
      <c r="N5" s="57"/>
      <c r="O5" s="57"/>
      <c r="P5" s="57"/>
      <c r="Q5" s="57"/>
      <c r="R5" s="35">
        <v>0.17236484386339246</v>
      </c>
      <c r="S5" s="35">
        <v>0.16295910413858242</v>
      </c>
      <c r="T5" s="36">
        <v>0.17569861198873782</v>
      </c>
      <c r="U5" s="6"/>
      <c r="V5" s="48" t="s">
        <v>63</v>
      </c>
      <c r="W5" s="49"/>
      <c r="X5" s="25">
        <f t="shared" ref="X5:X8" si="1">R5-R6</f>
        <v>1.5624850584359251E-3</v>
      </c>
      <c r="Y5" s="25">
        <f t="shared" si="0"/>
        <v>1.6364485854762079E-3</v>
      </c>
      <c r="Z5" s="23">
        <f t="shared" si="0"/>
        <v>1.8967889972065777E-3</v>
      </c>
      <c r="AA5" s="6"/>
      <c r="AB5" s="6"/>
      <c r="AC5" s="6"/>
    </row>
    <row r="6" spans="1:31" ht="17" thickBot="1" x14ac:dyDescent="0.25">
      <c r="A6" s="6"/>
      <c r="B6" s="68" t="s">
        <v>115</v>
      </c>
      <c r="C6" s="65" t="s">
        <v>19</v>
      </c>
      <c r="D6" s="45">
        <v>9.5000000000000001E-2</v>
      </c>
      <c r="E6" s="68" t="s">
        <v>116</v>
      </c>
      <c r="F6" s="64" t="s">
        <v>23</v>
      </c>
      <c r="G6" s="61">
        <v>0</v>
      </c>
      <c r="H6" s="6"/>
      <c r="I6" s="18" t="s">
        <v>61</v>
      </c>
      <c r="J6" s="23">
        <v>8.6607366658240786E-2</v>
      </c>
      <c r="K6" s="6"/>
      <c r="L6" s="56" t="s">
        <v>97</v>
      </c>
      <c r="M6" s="57"/>
      <c r="N6" s="57"/>
      <c r="O6" s="57"/>
      <c r="P6" s="57"/>
      <c r="Q6" s="57"/>
      <c r="R6" s="35">
        <v>0.17080235880495653</v>
      </c>
      <c r="S6" s="35">
        <v>0.16132265555310621</v>
      </c>
      <c r="T6" s="36">
        <v>0.17380182299153124</v>
      </c>
      <c r="U6" s="6"/>
      <c r="V6" s="48" t="s">
        <v>64</v>
      </c>
      <c r="W6" s="49"/>
      <c r="X6" s="25">
        <f t="shared" si="1"/>
        <v>1.1878059513144024E-3</v>
      </c>
      <c r="Y6" s="25">
        <f t="shared" si="0"/>
        <v>8.8922454215298319E-4</v>
      </c>
      <c r="Z6" s="23">
        <f t="shared" si="0"/>
        <v>1.0295134125786198E-3</v>
      </c>
      <c r="AA6" s="6"/>
      <c r="AB6" s="6"/>
      <c r="AC6" s="6"/>
    </row>
    <row r="7" spans="1:31" x14ac:dyDescent="0.2">
      <c r="A7" s="6"/>
      <c r="B7" s="6"/>
      <c r="C7" s="6"/>
      <c r="D7" s="6"/>
      <c r="E7" s="68" t="s">
        <v>117</v>
      </c>
      <c r="F7" s="64" t="s">
        <v>24</v>
      </c>
      <c r="G7" s="61">
        <v>2.7000000000000001E-3</v>
      </c>
      <c r="H7" s="6"/>
      <c r="I7" s="16"/>
      <c r="J7" s="21"/>
      <c r="K7" s="6"/>
      <c r="L7" s="56" t="s">
        <v>98</v>
      </c>
      <c r="M7" s="57"/>
      <c r="N7" s="57"/>
      <c r="O7" s="57"/>
      <c r="P7" s="57"/>
      <c r="Q7" s="57"/>
      <c r="R7" s="35">
        <v>0.16961455285364213</v>
      </c>
      <c r="S7" s="35">
        <v>0.16043343101095323</v>
      </c>
      <c r="T7" s="36">
        <v>0.17277230957895262</v>
      </c>
      <c r="U7" s="6"/>
      <c r="V7" s="48" t="s">
        <v>65</v>
      </c>
      <c r="W7" s="49"/>
      <c r="X7" s="25">
        <f t="shared" si="1"/>
        <v>5.4517533260067808E-3</v>
      </c>
      <c r="Y7" s="25">
        <f t="shared" si="0"/>
        <v>5.5805926956872531E-3</v>
      </c>
      <c r="Z7" s="23">
        <f t="shared" si="0"/>
        <v>6.4421427448941859E-3</v>
      </c>
      <c r="AA7" s="6"/>
      <c r="AB7" s="6"/>
      <c r="AC7" s="6"/>
    </row>
    <row r="8" spans="1:31" ht="17" thickBot="1" x14ac:dyDescent="0.25">
      <c r="A8" s="6"/>
      <c r="B8" s="6"/>
      <c r="C8" s="6"/>
      <c r="D8" s="6"/>
      <c r="E8" s="68" t="s">
        <v>118</v>
      </c>
      <c r="F8" s="65" t="s">
        <v>25</v>
      </c>
      <c r="G8" s="62">
        <v>0.18</v>
      </c>
      <c r="H8" s="6"/>
      <c r="I8" s="20" t="s">
        <v>103</v>
      </c>
      <c r="J8" s="24">
        <v>1.6969683000553861</v>
      </c>
      <c r="K8" s="6"/>
      <c r="L8" s="56" t="s">
        <v>100</v>
      </c>
      <c r="M8" s="57"/>
      <c r="N8" s="57"/>
      <c r="O8" s="57"/>
      <c r="P8" s="57"/>
      <c r="Q8" s="57"/>
      <c r="R8" s="35">
        <v>0.16416279952763535</v>
      </c>
      <c r="S8" s="35">
        <v>0.15485283831526597</v>
      </c>
      <c r="T8" s="36">
        <v>0.16633016683405843</v>
      </c>
      <c r="U8" s="6"/>
      <c r="V8" s="46" t="s">
        <v>66</v>
      </c>
      <c r="W8" s="47"/>
      <c r="X8" s="26">
        <f t="shared" si="1"/>
        <v>1.180244054094004E-3</v>
      </c>
      <c r="Y8" s="26">
        <f t="shared" si="0"/>
        <v>1.1858621522062018E-3</v>
      </c>
      <c r="Z8" s="24">
        <f t="shared" si="0"/>
        <v>1.3647535439713643E-3</v>
      </c>
      <c r="AA8" s="6"/>
      <c r="AB8" s="6"/>
      <c r="AC8" s="6"/>
    </row>
    <row r="9" spans="1:31" ht="17" thickBo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54" t="s">
        <v>99</v>
      </c>
      <c r="M9" s="55"/>
      <c r="N9" s="55"/>
      <c r="O9" s="55"/>
      <c r="P9" s="55"/>
      <c r="Q9" s="55"/>
      <c r="R9" s="37">
        <v>0.16298255547354135</v>
      </c>
      <c r="S9" s="37">
        <v>0.15366697616305977</v>
      </c>
      <c r="T9" s="38">
        <v>0.16496541329008707</v>
      </c>
      <c r="U9" s="6"/>
      <c r="V9" s="6"/>
      <c r="W9" s="6"/>
      <c r="X9" s="6"/>
      <c r="Y9" s="6"/>
      <c r="Z9" s="6"/>
      <c r="AA9" s="6"/>
      <c r="AB9" s="6"/>
      <c r="AC9" s="6"/>
    </row>
    <row r="10" spans="1:31" x14ac:dyDescent="0.2">
      <c r="A10" s="6"/>
      <c r="B10" s="6"/>
      <c r="C10" s="6"/>
      <c r="D10" s="6"/>
      <c r="E10" s="6"/>
      <c r="F10" s="6"/>
      <c r="G10" s="6"/>
      <c r="H10" s="6"/>
      <c r="I10" s="6" t="s">
        <v>106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31" ht="17" thickBot="1" x14ac:dyDescent="0.25">
      <c r="A11" s="6"/>
      <c r="B11" s="66" t="s">
        <v>112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31" ht="17" thickBot="1" x14ac:dyDescent="0.25">
      <c r="A12" s="6"/>
      <c r="B12" s="14" t="s">
        <v>7</v>
      </c>
      <c r="C12" s="14" t="s">
        <v>9</v>
      </c>
      <c r="D12" s="14" t="s">
        <v>8</v>
      </c>
      <c r="E12" s="14" t="s">
        <v>26</v>
      </c>
      <c r="F12" s="14" t="s">
        <v>27</v>
      </c>
      <c r="G12" s="14" t="s">
        <v>28</v>
      </c>
      <c r="H12" s="14" t="s">
        <v>29</v>
      </c>
      <c r="I12" s="14" t="s">
        <v>30</v>
      </c>
      <c r="J12" s="14" t="s">
        <v>31</v>
      </c>
      <c r="K12" s="14" t="s">
        <v>32</v>
      </c>
      <c r="L12" s="14" t="s">
        <v>33</v>
      </c>
      <c r="M12" s="14" t="s">
        <v>34</v>
      </c>
      <c r="N12" s="14" t="s">
        <v>35</v>
      </c>
      <c r="O12" s="14" t="s">
        <v>36</v>
      </c>
      <c r="P12" s="14" t="s">
        <v>37</v>
      </c>
      <c r="Q12" s="14" t="s">
        <v>38</v>
      </c>
      <c r="R12" s="14" t="s">
        <v>39</v>
      </c>
      <c r="S12" s="14" t="s">
        <v>40</v>
      </c>
      <c r="T12" s="14" t="s">
        <v>41</v>
      </c>
      <c r="U12" s="14" t="s">
        <v>42</v>
      </c>
      <c r="V12" s="14" t="s">
        <v>43</v>
      </c>
      <c r="W12" s="14" t="s">
        <v>44</v>
      </c>
      <c r="X12" s="14" t="s">
        <v>45</v>
      </c>
      <c r="Y12" s="14" t="s">
        <v>46</v>
      </c>
      <c r="Z12" s="14" t="s">
        <v>47</v>
      </c>
      <c r="AA12" s="14" t="s">
        <v>48</v>
      </c>
      <c r="AB12" s="14" t="s">
        <v>49</v>
      </c>
      <c r="AC12" s="14" t="s">
        <v>50</v>
      </c>
      <c r="AE12" s="6" t="s">
        <v>67</v>
      </c>
    </row>
    <row r="13" spans="1:31" x14ac:dyDescent="0.2">
      <c r="A13" s="6"/>
      <c r="B13" s="8">
        <v>1</v>
      </c>
      <c r="C13" s="9">
        <v>8.0000000000000002E-3</v>
      </c>
      <c r="D13" s="9">
        <v>0</v>
      </c>
      <c r="E13" s="9">
        <v>100</v>
      </c>
      <c r="F13" s="9">
        <v>3.0035264700422579</v>
      </c>
      <c r="G13" s="9">
        <v>2.1800000000000002</v>
      </c>
      <c r="H13" s="9">
        <v>0.82352647004225776</v>
      </c>
      <c r="I13" s="9">
        <v>10000</v>
      </c>
      <c r="J13" s="9">
        <v>100</v>
      </c>
      <c r="K13" s="9">
        <v>197.59403733333338</v>
      </c>
      <c r="L13" s="9">
        <v>82.327941210124507</v>
      </c>
      <c r="M13" s="9">
        <v>79.341178823966203</v>
      </c>
      <c r="N13" s="9">
        <v>0</v>
      </c>
      <c r="O13" s="9">
        <v>0</v>
      </c>
      <c r="P13" s="9">
        <v>0.71852631473484829</v>
      </c>
      <c r="Q13" s="9">
        <v>0.9700105248920452</v>
      </c>
      <c r="R13" s="9">
        <v>0</v>
      </c>
      <c r="S13" s="9">
        <v>2.7992197854345791</v>
      </c>
      <c r="T13" s="9">
        <v>354.77540074236271</v>
      </c>
      <c r="U13" s="9">
        <v>9838.3308799659098</v>
      </c>
      <c r="V13" s="9">
        <v>0.8</v>
      </c>
      <c r="W13" s="9">
        <v>7.9341178823966203E-3</v>
      </c>
      <c r="X13" s="9">
        <v>8.0000000000000002E-3</v>
      </c>
      <c r="Y13" s="9">
        <v>9.1886638191687742E-2</v>
      </c>
      <c r="Z13" s="9">
        <v>0</v>
      </c>
      <c r="AA13" s="9">
        <v>0</v>
      </c>
      <c r="AB13" s="9">
        <v>0</v>
      </c>
      <c r="AC13" s="10">
        <v>0</v>
      </c>
      <c r="AE13" s="6" t="s">
        <v>68</v>
      </c>
    </row>
    <row r="14" spans="1:31" x14ac:dyDescent="0.2">
      <c r="A14" s="6"/>
      <c r="B14" s="8">
        <v>2</v>
      </c>
      <c r="C14" s="9">
        <v>0.01</v>
      </c>
      <c r="D14" s="9">
        <v>0</v>
      </c>
      <c r="E14" s="9">
        <v>99.176473529957747</v>
      </c>
      <c r="F14" s="9">
        <v>3.0035264700422579</v>
      </c>
      <c r="G14" s="9">
        <v>2.1620471229530787</v>
      </c>
      <c r="H14" s="9">
        <v>0.84147934708917926</v>
      </c>
      <c r="I14" s="9">
        <v>9838.3308799659098</v>
      </c>
      <c r="J14" s="9">
        <v>99.2</v>
      </c>
      <c r="K14" s="9">
        <v>214.30211082710917</v>
      </c>
      <c r="L14" s="9">
        <v>83.407432883479458</v>
      </c>
      <c r="M14" s="9">
        <v>98.33499418286857</v>
      </c>
      <c r="N14" s="9">
        <v>0</v>
      </c>
      <c r="O14" s="9">
        <v>0</v>
      </c>
      <c r="P14" s="9">
        <v>0.79208907578691434</v>
      </c>
      <c r="Q14" s="9">
        <v>1.0693202523123344</v>
      </c>
      <c r="R14" s="9">
        <v>0</v>
      </c>
      <c r="S14" s="9">
        <v>2.977095437105886</v>
      </c>
      <c r="T14" s="9">
        <v>391.20603312825205</v>
      </c>
      <c r="U14" s="9">
        <v>9656.5884528995612</v>
      </c>
      <c r="V14" s="9">
        <v>1</v>
      </c>
      <c r="W14" s="9">
        <v>9.8334994182868573E-3</v>
      </c>
      <c r="X14" s="9">
        <v>1.0080619630381361E-2</v>
      </c>
      <c r="Y14" s="9">
        <v>0.11448092250710862</v>
      </c>
      <c r="Z14" s="9">
        <v>0</v>
      </c>
      <c r="AA14" s="9">
        <v>0</v>
      </c>
      <c r="AB14" s="9">
        <v>0</v>
      </c>
      <c r="AC14" s="10">
        <v>0</v>
      </c>
      <c r="AE14" s="6" t="s">
        <v>69</v>
      </c>
    </row>
    <row r="15" spans="1:31" x14ac:dyDescent="0.2">
      <c r="A15" s="6"/>
      <c r="B15" s="8">
        <v>3</v>
      </c>
      <c r="C15" s="9">
        <v>8.0000000000000002E-3</v>
      </c>
      <c r="D15" s="9">
        <v>0</v>
      </c>
      <c r="E15" s="9">
        <v>98.334994182868556</v>
      </c>
      <c r="F15" s="9">
        <v>3.0035264700422579</v>
      </c>
      <c r="G15" s="9">
        <v>2.1437028731865344</v>
      </c>
      <c r="H15" s="9">
        <v>0.85982359685572352</v>
      </c>
      <c r="I15" s="9">
        <v>9656.5884528995612</v>
      </c>
      <c r="J15" s="9">
        <v>98.2</v>
      </c>
      <c r="K15" s="9">
        <v>210.16862968720784</v>
      </c>
      <c r="L15" s="9">
        <v>84.297105435735133</v>
      </c>
      <c r="M15" s="9">
        <v>77.980136468810272</v>
      </c>
      <c r="N15" s="9">
        <v>0</v>
      </c>
      <c r="O15" s="9">
        <v>0</v>
      </c>
      <c r="P15" s="9">
        <v>0.74489174318350648</v>
      </c>
      <c r="Q15" s="9">
        <v>1.0056038532977338</v>
      </c>
      <c r="R15" s="9">
        <v>0</v>
      </c>
      <c r="S15" s="9">
        <v>2.9446573512294298</v>
      </c>
      <c r="T15" s="9">
        <v>367.75071864404259</v>
      </c>
      <c r="U15" s="9">
        <v>9494.3112109950162</v>
      </c>
      <c r="V15" s="9">
        <v>0.8</v>
      </c>
      <c r="W15" s="9">
        <v>7.7980136468810274E-3</v>
      </c>
      <c r="X15" s="9">
        <v>8.1465611915749591E-3</v>
      </c>
      <c r="Y15" s="9">
        <v>9.3495340760293866E-2</v>
      </c>
      <c r="Z15" s="9">
        <v>0</v>
      </c>
      <c r="AA15" s="9">
        <v>0</v>
      </c>
      <c r="AB15" s="9">
        <v>0</v>
      </c>
      <c r="AC15" s="10">
        <v>0</v>
      </c>
      <c r="AE15" s="6" t="s">
        <v>70</v>
      </c>
    </row>
    <row r="16" spans="1:31" x14ac:dyDescent="0.2">
      <c r="A16" s="6"/>
      <c r="B16" s="8">
        <v>4</v>
      </c>
      <c r="C16" s="9">
        <v>8.0000000000000002E-3</v>
      </c>
      <c r="D16" s="9">
        <v>1E-4</v>
      </c>
      <c r="E16" s="9">
        <v>97.475170586012837</v>
      </c>
      <c r="F16" s="9">
        <v>3.0035264700422579</v>
      </c>
      <c r="G16" s="9">
        <v>2.1249587187750798</v>
      </c>
      <c r="H16" s="9">
        <v>0.87856775126717812</v>
      </c>
      <c r="I16" s="9">
        <v>9494.3112109950162</v>
      </c>
      <c r="J16" s="9">
        <v>97.4</v>
      </c>
      <c r="K16" s="9">
        <v>206.354741180248</v>
      </c>
      <c r="L16" s="9">
        <v>85.31771432555567</v>
      </c>
      <c r="M16" s="9">
        <v>77.277282267796522</v>
      </c>
      <c r="N16" s="9">
        <v>1</v>
      </c>
      <c r="O16" s="9">
        <v>9.5000000000000001E-2</v>
      </c>
      <c r="P16" s="9">
        <v>0.73789947554720037</v>
      </c>
      <c r="Q16" s="9">
        <v>0.99616429198872058</v>
      </c>
      <c r="R16" s="9">
        <v>1.7100000000000001E-2</v>
      </c>
      <c r="S16" s="9">
        <v>2.9167245550580367</v>
      </c>
      <c r="T16" s="9">
        <v>364.37684945100625</v>
      </c>
      <c r="U16" s="9">
        <v>9330.7162144016638</v>
      </c>
      <c r="V16" s="9">
        <v>0.8</v>
      </c>
      <c r="W16" s="9">
        <v>7.727728226779652E-3</v>
      </c>
      <c r="X16" s="9">
        <v>8.2133519309085436E-3</v>
      </c>
      <c r="Y16" s="9">
        <v>9.422759044345963E-2</v>
      </c>
      <c r="Z16" s="9">
        <v>0.01</v>
      </c>
      <c r="AA16" s="9">
        <v>1E-4</v>
      </c>
      <c r="AB16" s="9">
        <v>1.0532622933635633E-4</v>
      </c>
      <c r="AC16" s="10">
        <v>1.2631828304712212E-3</v>
      </c>
      <c r="AE16" s="6" t="s">
        <v>71</v>
      </c>
    </row>
    <row r="17" spans="1:31" x14ac:dyDescent="0.2">
      <c r="A17" s="6"/>
      <c r="B17" s="8">
        <v>5</v>
      </c>
      <c r="C17" s="9">
        <v>0.01</v>
      </c>
      <c r="D17" s="9">
        <v>2.0000000000000001E-4</v>
      </c>
      <c r="E17" s="9">
        <v>96.596602834745653</v>
      </c>
      <c r="F17" s="9">
        <v>3.0035264700422579</v>
      </c>
      <c r="G17" s="9">
        <v>2.1058059417974553</v>
      </c>
      <c r="H17" s="9">
        <v>0.89772052824480264</v>
      </c>
      <c r="I17" s="9">
        <v>9330.7162144016638</v>
      </c>
      <c r="J17" s="9">
        <v>96.59</v>
      </c>
      <c r="K17" s="9">
        <v>202.4100671255714</v>
      </c>
      <c r="L17" s="9">
        <v>86.288897174890437</v>
      </c>
      <c r="M17" s="9">
        <v>95.698882306500849</v>
      </c>
      <c r="N17" s="9">
        <v>2</v>
      </c>
      <c r="O17" s="9">
        <v>0.19</v>
      </c>
      <c r="P17" s="9">
        <v>0.76879569321392549</v>
      </c>
      <c r="Q17" s="9">
        <v>1.0378741858387994</v>
      </c>
      <c r="R17" s="9">
        <v>3.4200000000000001E-2</v>
      </c>
      <c r="S17" s="9">
        <v>2.8869896430046187</v>
      </c>
      <c r="T17" s="9">
        <v>379.85998708490541</v>
      </c>
      <c r="U17" s="9">
        <v>9146.7284349202728</v>
      </c>
      <c r="V17" s="9">
        <v>1</v>
      </c>
      <c r="W17" s="9">
        <v>9.5698882306500845E-3</v>
      </c>
      <c r="X17" s="9">
        <v>1.0352534240702881E-2</v>
      </c>
      <c r="Y17" s="9">
        <v>0.11739536758253877</v>
      </c>
      <c r="Z17" s="9">
        <v>0.02</v>
      </c>
      <c r="AA17" s="9">
        <v>2.0000000000000001E-4</v>
      </c>
      <c r="AB17" s="9">
        <v>2.1434581805339484E-4</v>
      </c>
      <c r="AC17" s="10">
        <v>2.5691196695794005E-3</v>
      </c>
      <c r="AE17" s="6" t="s">
        <v>72</v>
      </c>
    </row>
    <row r="18" spans="1:31" x14ac:dyDescent="0.2">
      <c r="A18" s="6"/>
      <c r="B18" s="8">
        <v>6</v>
      </c>
      <c r="C18" s="9">
        <v>4.0000000000000001E-3</v>
      </c>
      <c r="D18" s="9">
        <v>5.0000000000000001E-4</v>
      </c>
      <c r="E18" s="9">
        <v>95.698882306500849</v>
      </c>
      <c r="F18" s="9">
        <v>3.0035264700422579</v>
      </c>
      <c r="G18" s="9">
        <v>2.0862356342817185</v>
      </c>
      <c r="H18" s="9">
        <v>0.91729083576053938</v>
      </c>
      <c r="I18" s="9">
        <v>9146.7284349202728</v>
      </c>
      <c r="J18" s="9">
        <v>95.570000000000007</v>
      </c>
      <c r="K18" s="9">
        <v>197.87944991162101</v>
      </c>
      <c r="L18" s="9">
        <v>87.005035771887165</v>
      </c>
      <c r="M18" s="9">
        <v>37.912636588296124</v>
      </c>
      <c r="N18" s="9">
        <v>4.9588236764978877</v>
      </c>
      <c r="O18" s="9">
        <v>0.47108824926729931</v>
      </c>
      <c r="P18" s="9">
        <v>0.64559424454360848</v>
      </c>
      <c r="Q18" s="9">
        <v>0.87155223013387151</v>
      </c>
      <c r="R18" s="9">
        <v>8.4795884868113874E-2</v>
      </c>
      <c r="S18" s="9">
        <v>2.8488448568350817</v>
      </c>
      <c r="T18" s="9">
        <v>318.81742330469092</v>
      </c>
      <c r="U18" s="9">
        <v>9016.8519388835921</v>
      </c>
      <c r="V18" s="9">
        <v>0.4</v>
      </c>
      <c r="W18" s="9">
        <v>3.7912636588296124E-3</v>
      </c>
      <c r="X18" s="9">
        <v>4.185050572957599E-3</v>
      </c>
      <c r="Y18" s="9">
        <v>4.9080615183565435E-2</v>
      </c>
      <c r="Z18" s="9">
        <v>0.05</v>
      </c>
      <c r="AA18" s="9">
        <v>4.9588236764978877E-4</v>
      </c>
      <c r="AB18" s="9">
        <v>5.4214178454956073E-4</v>
      </c>
      <c r="AC18" s="10">
        <v>6.4863378586259568E-3</v>
      </c>
      <c r="AE18" s="6" t="s">
        <v>73</v>
      </c>
    </row>
    <row r="19" spans="1:31" x14ac:dyDescent="0.2">
      <c r="A19" s="6"/>
      <c r="B19" s="8">
        <v>7</v>
      </c>
      <c r="C19" s="9">
        <v>5.0000000000000001E-3</v>
      </c>
      <c r="D19" s="9">
        <v>8.0000000000000004E-4</v>
      </c>
      <c r="E19" s="9">
        <v>94.781591470740295</v>
      </c>
      <c r="F19" s="9">
        <v>3.0035264700422579</v>
      </c>
      <c r="G19" s="9">
        <v>2.0662386940621382</v>
      </c>
      <c r="H19" s="9">
        <v>0.9372877759801197</v>
      </c>
      <c r="I19" s="9">
        <v>9016.8519388835921</v>
      </c>
      <c r="J19" s="9">
        <v>95.12</v>
      </c>
      <c r="K19" s="9">
        <v>194.43306111124721</v>
      </c>
      <c r="L19" s="9">
        <v>88.198779719729274</v>
      </c>
      <c r="M19" s="9">
        <v>46.922151847380086</v>
      </c>
      <c r="N19" s="9">
        <v>7.866799534629485</v>
      </c>
      <c r="O19" s="9">
        <v>0.74734595578980112</v>
      </c>
      <c r="P19" s="9">
        <v>0.65910798535671311</v>
      </c>
      <c r="Q19" s="9">
        <v>0.88979578023156281</v>
      </c>
      <c r="R19" s="9">
        <v>0.13452227204216419</v>
      </c>
      <c r="S19" s="9">
        <v>2.8263184083097652</v>
      </c>
      <c r="T19" s="9">
        <v>325.79159418820615</v>
      </c>
      <c r="U19" s="9">
        <v>8873.8642077818531</v>
      </c>
      <c r="V19" s="9">
        <v>0.5</v>
      </c>
      <c r="W19" s="9">
        <v>4.6922151847380083E-3</v>
      </c>
      <c r="X19" s="9">
        <v>5.2557956645573941E-3</v>
      </c>
      <c r="Y19" s="9">
        <v>6.1277970042898144E-2</v>
      </c>
      <c r="Z19" s="9">
        <v>0.08</v>
      </c>
      <c r="AA19" s="9">
        <v>7.8667995346294855E-4</v>
      </c>
      <c r="AB19" s="9">
        <v>8.7245521917747061E-4</v>
      </c>
      <c r="AC19" s="10">
        <v>1.0419370689144336E-2</v>
      </c>
      <c r="AE19" s="6" t="s">
        <v>74</v>
      </c>
    </row>
    <row r="20" spans="1:31" x14ac:dyDescent="0.2">
      <c r="A20" s="6"/>
      <c r="B20" s="8">
        <v>8</v>
      </c>
      <c r="C20" s="9">
        <v>7.0000000000000001E-3</v>
      </c>
      <c r="D20" s="9">
        <v>1.2999999999999999E-3</v>
      </c>
      <c r="E20" s="9">
        <v>93.844303694760185</v>
      </c>
      <c r="F20" s="9">
        <v>3.0035264700422579</v>
      </c>
      <c r="G20" s="9">
        <v>2.0458058205457719</v>
      </c>
      <c r="H20" s="9">
        <v>0.95772064949648605</v>
      </c>
      <c r="I20" s="9">
        <v>8873.8642077818531</v>
      </c>
      <c r="J20" s="9">
        <v>94.54</v>
      </c>
      <c r="K20" s="9">
        <v>190.56681218383866</v>
      </c>
      <c r="L20" s="9">
        <v>89.211678500597685</v>
      </c>
      <c r="M20" s="9">
        <v>65.020608131684597</v>
      </c>
      <c r="N20" s="9">
        <v>12.671772176181669</v>
      </c>
      <c r="O20" s="9">
        <v>1.2038183567372587</v>
      </c>
      <c r="P20" s="9">
        <v>0.68959819763224184</v>
      </c>
      <c r="Q20" s="9">
        <v>0.93095756680352659</v>
      </c>
      <c r="R20" s="9">
        <v>0.21668730421270654</v>
      </c>
      <c r="S20" s="9">
        <v>2.7977849068443637</v>
      </c>
      <c r="T20" s="9">
        <v>341.3678891973654</v>
      </c>
      <c r="U20" s="9">
        <v>8706.9601489733886</v>
      </c>
      <c r="V20" s="9">
        <v>0.70000000000000007</v>
      </c>
      <c r="W20" s="9">
        <v>6.5020608131684593E-3</v>
      </c>
      <c r="X20" s="9">
        <v>7.4027359274231094E-3</v>
      </c>
      <c r="Y20" s="9">
        <v>8.5303777302556338E-2</v>
      </c>
      <c r="Z20" s="9">
        <v>0.13</v>
      </c>
      <c r="AA20" s="9">
        <v>1.2671772176181669E-3</v>
      </c>
      <c r="AB20" s="9">
        <v>1.4279880646662674E-3</v>
      </c>
      <c r="AC20" s="10">
        <v>1.7001911442150019E-2</v>
      </c>
      <c r="AE20" s="6" t="s">
        <v>75</v>
      </c>
    </row>
    <row r="21" spans="1:31" x14ac:dyDescent="0.2">
      <c r="A21" s="6"/>
      <c r="B21" s="8">
        <v>9</v>
      </c>
      <c r="C21" s="9">
        <v>5.0000000000000001E-3</v>
      </c>
      <c r="D21" s="9">
        <v>1.9E-3</v>
      </c>
      <c r="E21" s="9">
        <v>92.886583045263691</v>
      </c>
      <c r="F21" s="9">
        <v>3.0035264700422579</v>
      </c>
      <c r="G21" s="9">
        <v>2.0249275103867483</v>
      </c>
      <c r="H21" s="9">
        <v>0.97859895965550958</v>
      </c>
      <c r="I21" s="9">
        <v>8706.9601489733886</v>
      </c>
      <c r="J21" s="9">
        <v>93.710000000000008</v>
      </c>
      <c r="K21" s="9">
        <v>186.09083820454219</v>
      </c>
      <c r="L21" s="9">
        <v>89.933244392341336</v>
      </c>
      <c r="M21" s="9">
        <v>45.953992042804089</v>
      </c>
      <c r="N21" s="9">
        <v>18.353354538601675</v>
      </c>
      <c r="O21" s="9">
        <v>1.7435686811671591</v>
      </c>
      <c r="P21" s="9">
        <v>0.64395614927937528</v>
      </c>
      <c r="Q21" s="9">
        <v>0.86934080152715665</v>
      </c>
      <c r="R21" s="9">
        <v>0.31384236261008863</v>
      </c>
      <c r="S21" s="9">
        <v>2.7602408259688356</v>
      </c>
      <c r="T21" s="9">
        <v>319.13426318146941</v>
      </c>
      <c r="U21" s="9">
        <v>8552.7195579996423</v>
      </c>
      <c r="V21" s="9">
        <v>0.5</v>
      </c>
      <c r="W21" s="9">
        <v>4.5953992042804086E-3</v>
      </c>
      <c r="X21" s="9">
        <v>5.3340253569456146E-3</v>
      </c>
      <c r="Y21" s="9">
        <v>6.2163474234804839E-2</v>
      </c>
      <c r="Z21" s="9">
        <v>0.19</v>
      </c>
      <c r="AA21" s="9">
        <v>1.8353354538601676E-3</v>
      </c>
      <c r="AB21" s="9">
        <v>2.1078946296504714E-3</v>
      </c>
      <c r="AC21" s="10">
        <v>2.5003533796092325E-2</v>
      </c>
      <c r="AE21" s="6" t="s">
        <v>76</v>
      </c>
    </row>
    <row r="22" spans="1:31" x14ac:dyDescent="0.2">
      <c r="A22" s="6"/>
      <c r="B22" s="8">
        <v>10</v>
      </c>
      <c r="C22" s="9">
        <v>8.0000000000000002E-3</v>
      </c>
      <c r="D22" s="9">
        <v>2.7000000000000001E-3</v>
      </c>
      <c r="E22" s="9">
        <v>91.907984085608192</v>
      </c>
      <c r="F22" s="9">
        <v>3.0035264700422579</v>
      </c>
      <c r="G22" s="9">
        <v>2.0035940530662586</v>
      </c>
      <c r="H22" s="9">
        <v>0.99993241697599933</v>
      </c>
      <c r="I22" s="9">
        <v>8552.7195579996423</v>
      </c>
      <c r="J22" s="9">
        <v>93.02000000000001</v>
      </c>
      <c r="K22" s="9">
        <v>181.82616031576299</v>
      </c>
      <c r="L22" s="9">
        <v>90.743866840571954</v>
      </c>
      <c r="M22" s="9">
        <v>72.726441334905758</v>
      </c>
      <c r="N22" s="9">
        <v>25.83869822275523</v>
      </c>
      <c r="O22" s="9">
        <v>2.454676331161747</v>
      </c>
      <c r="P22" s="9">
        <v>0.69059293698248148</v>
      </c>
      <c r="Q22" s="9">
        <v>0.93230046492634999</v>
      </c>
      <c r="R22" s="9">
        <v>0.44184173960911444</v>
      </c>
      <c r="S22" s="9">
        <v>2.7257002715633498</v>
      </c>
      <c r="T22" s="9">
        <v>342.96070940932117</v>
      </c>
      <c r="U22" s="9">
        <v>8363.4105516014097</v>
      </c>
      <c r="V22" s="9">
        <v>0.8</v>
      </c>
      <c r="W22" s="9">
        <v>7.2726441334905753E-3</v>
      </c>
      <c r="X22" s="9">
        <v>8.5968049801122375E-3</v>
      </c>
      <c r="Y22" s="9">
        <v>9.842103564125082E-2</v>
      </c>
      <c r="Z22" s="9">
        <v>0.27</v>
      </c>
      <c r="AA22" s="9">
        <v>2.5838698222755232E-3</v>
      </c>
      <c r="AB22" s="9">
        <v>3.0211090224029897E-3</v>
      </c>
      <c r="AC22" s="10">
        <v>3.5656944922068501E-2</v>
      </c>
      <c r="AE22" s="6" t="s">
        <v>77</v>
      </c>
    </row>
    <row r="23" spans="1:31" x14ac:dyDescent="0.2">
      <c r="A23" s="6"/>
      <c r="B23" s="8">
        <v>11</v>
      </c>
      <c r="C23" s="9">
        <v>6.0000000000000001E-3</v>
      </c>
      <c r="D23" s="9">
        <v>3.5000000000000001E-3</v>
      </c>
      <c r="E23" s="9">
        <v>90.908051668632183</v>
      </c>
      <c r="F23" s="9">
        <v>3.0035264700422579</v>
      </c>
      <c r="G23" s="9">
        <v>1.9817955263761815</v>
      </c>
      <c r="H23" s="9">
        <v>1.0217309436660764</v>
      </c>
      <c r="I23" s="9">
        <v>8363.4105516014097</v>
      </c>
      <c r="J23" s="9">
        <v>91.950000000000017</v>
      </c>
      <c r="K23" s="9">
        <v>176.79597890801921</v>
      </c>
      <c r="L23" s="9">
        <v>91.148617484450696</v>
      </c>
      <c r="M23" s="9">
        <v>53.931792434979663</v>
      </c>
      <c r="N23" s="9">
        <v>33.173557014759105</v>
      </c>
      <c r="O23" s="9">
        <v>3.151487916402115</v>
      </c>
      <c r="P23" s="9">
        <v>0.64375277765489924</v>
      </c>
      <c r="Q23" s="9">
        <v>0.86906624983411396</v>
      </c>
      <c r="R23" s="9">
        <v>0.56726782495238071</v>
      </c>
      <c r="S23" s="9">
        <v>2.679445963924699</v>
      </c>
      <c r="T23" s="9">
        <v>320.2683439274856</v>
      </c>
      <c r="U23" s="9">
        <v>8185.1565846672202</v>
      </c>
      <c r="V23" s="9">
        <v>0.6</v>
      </c>
      <c r="W23" s="9">
        <v>5.3931792434979663E-3</v>
      </c>
      <c r="X23" s="9">
        <v>6.5218015250320402E-3</v>
      </c>
      <c r="Y23" s="9">
        <v>7.5514522452037047E-2</v>
      </c>
      <c r="Z23" s="9">
        <v>0.35000000000000003</v>
      </c>
      <c r="AA23" s="9">
        <v>3.3173557014759105E-3</v>
      </c>
      <c r="AB23" s="9">
        <v>3.9665106489848324E-3</v>
      </c>
      <c r="AC23" s="10">
        <v>4.6573343693590008E-2</v>
      </c>
      <c r="AE23" s="6" t="s">
        <v>78</v>
      </c>
    </row>
    <row r="24" spans="1:31" x14ac:dyDescent="0.2">
      <c r="A24" s="6"/>
      <c r="B24" s="8">
        <v>12</v>
      </c>
      <c r="C24" s="9">
        <v>5.0000000000000001E-3</v>
      </c>
      <c r="D24" s="9">
        <v>4.4999999999999997E-3</v>
      </c>
      <c r="E24" s="9">
        <v>89.886320724966112</v>
      </c>
      <c r="F24" s="9">
        <v>3.0035264700422579</v>
      </c>
      <c r="G24" s="9">
        <v>1.9595217918042613</v>
      </c>
      <c r="H24" s="9">
        <v>1.0440046782379966</v>
      </c>
      <c r="I24" s="9">
        <v>8185.1565846672202</v>
      </c>
      <c r="J24" s="9">
        <v>91.000000000000028</v>
      </c>
      <c r="K24" s="9">
        <v>172.00682288457813</v>
      </c>
      <c r="L24" s="9">
        <v>91.64273065573137</v>
      </c>
      <c r="M24" s="9">
        <v>44.421158023364057</v>
      </c>
      <c r="N24" s="9">
        <v>42.229936662642082</v>
      </c>
      <c r="O24" s="9">
        <v>4.0118439829509978</v>
      </c>
      <c r="P24" s="9">
        <v>0.6161414231273471</v>
      </c>
      <c r="Q24" s="9">
        <v>0.83179092122191867</v>
      </c>
      <c r="R24" s="9">
        <v>0.72213191693117962</v>
      </c>
      <c r="S24" s="9">
        <v>2.6364955354030952</v>
      </c>
      <c r="T24" s="9">
        <v>307.27599574994105</v>
      </c>
      <c r="U24" s="9">
        <v>8006.8627593254823</v>
      </c>
      <c r="V24" s="9">
        <v>0.5</v>
      </c>
      <c r="W24" s="9">
        <v>4.4421158023364056E-3</v>
      </c>
      <c r="X24" s="9">
        <v>5.490769166094739E-3</v>
      </c>
      <c r="Y24" s="9">
        <v>6.3935398475071903E-2</v>
      </c>
      <c r="Z24" s="9">
        <v>0.44999999999999996</v>
      </c>
      <c r="AA24" s="9">
        <v>4.2229936662642083E-3</v>
      </c>
      <c r="AB24" s="9">
        <v>5.159331556557999E-3</v>
      </c>
      <c r="AC24" s="10">
        <v>6.0185010118624871E-2</v>
      </c>
      <c r="AE24" s="6" t="s">
        <v>79</v>
      </c>
    </row>
    <row r="25" spans="1:31" x14ac:dyDescent="0.2">
      <c r="A25" s="6"/>
      <c r="B25" s="8">
        <v>13</v>
      </c>
      <c r="C25" s="9">
        <v>8.0000000000000002E-3</v>
      </c>
      <c r="D25" s="9">
        <v>5.4999999999999997E-3</v>
      </c>
      <c r="E25" s="9">
        <v>88.842316046728115</v>
      </c>
      <c r="F25" s="9">
        <v>3.0035264700422579</v>
      </c>
      <c r="G25" s="9">
        <v>1.9367624898186728</v>
      </c>
      <c r="H25" s="9">
        <v>1.0667639802235851</v>
      </c>
      <c r="I25" s="9">
        <v>8006.8627593254823</v>
      </c>
      <c r="J25" s="9">
        <v>90.050000000000026</v>
      </c>
      <c r="K25" s="9">
        <v>167.27817624563883</v>
      </c>
      <c r="L25" s="9">
        <v>92.136404971911077</v>
      </c>
      <c r="M25" s="9">
        <v>70.220441653203622</v>
      </c>
      <c r="N25" s="9">
        <v>51.087620674895021</v>
      </c>
      <c r="O25" s="9">
        <v>4.8533239641150274</v>
      </c>
      <c r="P25" s="9">
        <v>0.65927004574150705</v>
      </c>
      <c r="Q25" s="9">
        <v>0.89001456175103455</v>
      </c>
      <c r="R25" s="9">
        <v>0.87359831354070494</v>
      </c>
      <c r="S25" s="9">
        <v>3.296350228707535</v>
      </c>
      <c r="T25" s="9">
        <v>328.76911368512776</v>
      </c>
      <c r="U25" s="9">
        <v>7793.4182920254716</v>
      </c>
      <c r="V25" s="9">
        <v>0.8</v>
      </c>
      <c r="W25" s="9">
        <v>7.0220441653203623E-3</v>
      </c>
      <c r="X25" s="9">
        <v>8.8765277555869215E-3</v>
      </c>
      <c r="Y25" s="9">
        <v>0.10146885130487127</v>
      </c>
      <c r="Z25" s="9">
        <v>0.54999999999999993</v>
      </c>
      <c r="AA25" s="9">
        <v>5.108762067489502E-3</v>
      </c>
      <c r="AB25" s="9">
        <v>6.3804791227867587E-3</v>
      </c>
      <c r="AC25" s="10">
        <v>7.3935189055526984E-2</v>
      </c>
      <c r="AE25" s="6" t="s">
        <v>80</v>
      </c>
    </row>
    <row r="26" spans="1:31" x14ac:dyDescent="0.2">
      <c r="A26" s="6"/>
      <c r="B26" s="8">
        <v>14</v>
      </c>
      <c r="C26" s="9">
        <v>5.0000000000000001E-3</v>
      </c>
      <c r="D26" s="9">
        <v>6.4999999999999997E-3</v>
      </c>
      <c r="E26" s="9">
        <v>87.775552066504531</v>
      </c>
      <c r="F26" s="9">
        <v>3.0035264700422579</v>
      </c>
      <c r="G26" s="9">
        <v>1.9135070350497987</v>
      </c>
      <c r="H26" s="9">
        <v>1.0900194349924592</v>
      </c>
      <c r="I26" s="9">
        <v>7793.4182920254716</v>
      </c>
      <c r="J26" s="9">
        <v>88.700000000000031</v>
      </c>
      <c r="K26" s="9">
        <v>161.88269516521305</v>
      </c>
      <c r="L26" s="9">
        <v>92.215644200362092</v>
      </c>
      <c r="M26" s="9">
        <v>43.342766315756037</v>
      </c>
      <c r="N26" s="9">
        <v>59.740189655645324</v>
      </c>
      <c r="O26" s="9">
        <v>5.6753180172863056</v>
      </c>
      <c r="P26" s="9">
        <v>0.59488221136266239</v>
      </c>
      <c r="Q26" s="9">
        <v>0.80309098533959422</v>
      </c>
      <c r="R26" s="9">
        <v>1.021557243111535</v>
      </c>
      <c r="S26" s="9">
        <v>2.9744110568133117</v>
      </c>
      <c r="T26" s="9">
        <v>297.72248220199032</v>
      </c>
      <c r="U26" s="9">
        <v>7598.1196918537071</v>
      </c>
      <c r="V26" s="9">
        <v>0.5</v>
      </c>
      <c r="W26" s="9">
        <v>4.3342766315756041E-3</v>
      </c>
      <c r="X26" s="9">
        <v>5.6313195632963888E-3</v>
      </c>
      <c r="Y26" s="9">
        <v>6.5521652656121643E-2</v>
      </c>
      <c r="Z26" s="9">
        <v>0.65</v>
      </c>
      <c r="AA26" s="9">
        <v>5.9740189655645322E-3</v>
      </c>
      <c r="AB26" s="9">
        <v>7.6654668615405656E-3</v>
      </c>
      <c r="AC26" s="10">
        <v>8.8204886800189342E-2</v>
      </c>
      <c r="AE26" s="6" t="s">
        <v>105</v>
      </c>
    </row>
    <row r="27" spans="1:31" x14ac:dyDescent="0.2">
      <c r="A27" s="6"/>
      <c r="B27" s="8">
        <v>15</v>
      </c>
      <c r="C27" s="9">
        <v>7.0000000000000001E-3</v>
      </c>
      <c r="D27" s="9">
        <v>7.4000000000000003E-3</v>
      </c>
      <c r="E27" s="9">
        <v>86.685532631512075</v>
      </c>
      <c r="F27" s="9">
        <v>3.0035264700422579</v>
      </c>
      <c r="G27" s="9">
        <v>1.8897446113669631</v>
      </c>
      <c r="H27" s="9">
        <v>1.1137818586752948</v>
      </c>
      <c r="I27" s="9">
        <v>7598.1196918537071</v>
      </c>
      <c r="J27" s="9">
        <v>87.550000000000026</v>
      </c>
      <c r="K27" s="9">
        <v>156.98108486625367</v>
      </c>
      <c r="L27" s="9">
        <v>92.521859000156766</v>
      </c>
      <c r="M27" s="9">
        <v>59.900225540985751</v>
      </c>
      <c r="N27" s="9">
        <v>67.271958234787817</v>
      </c>
      <c r="O27" s="9">
        <v>6.3908360323048425</v>
      </c>
      <c r="P27" s="9">
        <v>0.6188063388147923</v>
      </c>
      <c r="Q27" s="9">
        <v>0.83538855739996964</v>
      </c>
      <c r="R27" s="9">
        <v>1.1503504858148716</v>
      </c>
      <c r="S27" s="9">
        <v>3.0940316940739616</v>
      </c>
      <c r="T27" s="9">
        <v>310.09542836359731</v>
      </c>
      <c r="U27" s="9">
        <v>7378.4256490777761</v>
      </c>
      <c r="V27" s="9">
        <v>0.70000000000000007</v>
      </c>
      <c r="W27" s="9">
        <v>5.9900225540985754E-3</v>
      </c>
      <c r="X27" s="9">
        <v>7.9860492404388566E-3</v>
      </c>
      <c r="Y27" s="9">
        <v>9.1733373863597478E-2</v>
      </c>
      <c r="Z27" s="9">
        <v>0.74</v>
      </c>
      <c r="AA27" s="9">
        <v>6.7271958234787817E-3</v>
      </c>
      <c r="AB27" s="9">
        <v>8.8537639525359379E-3</v>
      </c>
      <c r="AC27" s="10">
        <v>0.10122117394880792</v>
      </c>
      <c r="AE27" s="6" t="s">
        <v>81</v>
      </c>
    </row>
    <row r="28" spans="1:31" x14ac:dyDescent="0.2">
      <c r="A28" s="6"/>
      <c r="B28" s="8">
        <v>16</v>
      </c>
      <c r="C28" s="9">
        <v>5.0000000000000001E-3</v>
      </c>
      <c r="D28" s="9">
        <v>8.3000000000000001E-3</v>
      </c>
      <c r="E28" s="9">
        <v>85.571750772836751</v>
      </c>
      <c r="F28" s="9">
        <v>3.0035264700422579</v>
      </c>
      <c r="G28" s="9">
        <v>1.8654641668478411</v>
      </c>
      <c r="H28" s="9">
        <v>1.1380623031944168</v>
      </c>
      <c r="I28" s="9">
        <v>7378.4256490777761</v>
      </c>
      <c r="J28" s="9">
        <v>86.110000000000028</v>
      </c>
      <c r="K28" s="9">
        <v>151.66223676472953</v>
      </c>
      <c r="L28" s="9">
        <v>92.524465249706111</v>
      </c>
      <c r="M28" s="9">
        <v>42.216844234821167</v>
      </c>
      <c r="N28" s="9">
        <v>74.605646201721868</v>
      </c>
      <c r="O28" s="9">
        <v>7.0875363891635779</v>
      </c>
      <c r="P28" s="9">
        <v>0.57280709249851358</v>
      </c>
      <c r="Q28" s="9">
        <v>0.77328957487299343</v>
      </c>
      <c r="R28" s="9">
        <v>1.2757565500494439</v>
      </c>
      <c r="S28" s="9">
        <v>2.8640354624925681</v>
      </c>
      <c r="T28" s="9">
        <v>288.00519395850688</v>
      </c>
      <c r="U28" s="9">
        <v>7169.0786933915269</v>
      </c>
      <c r="V28" s="9">
        <v>0.5</v>
      </c>
      <c r="W28" s="9">
        <v>4.2216844234821164E-3</v>
      </c>
      <c r="X28" s="9">
        <v>5.7986768675643173E-3</v>
      </c>
      <c r="Y28" s="9">
        <v>6.7407236057298481E-2</v>
      </c>
      <c r="Z28" s="9">
        <v>0.83</v>
      </c>
      <c r="AA28" s="9">
        <v>7.4605646201721864E-3</v>
      </c>
      <c r="AB28" s="9">
        <v>1.0111323167029104E-2</v>
      </c>
      <c r="AC28" s="10">
        <v>0.11481045152201896</v>
      </c>
      <c r="AE28" s="6" t="s">
        <v>82</v>
      </c>
    </row>
    <row r="29" spans="1:31" x14ac:dyDescent="0.2">
      <c r="A29" s="6"/>
      <c r="B29" s="8">
        <v>17</v>
      </c>
      <c r="C29" s="9">
        <v>4.0000000000000001E-3</v>
      </c>
      <c r="D29" s="9">
        <v>9.1000000000000004E-3</v>
      </c>
      <c r="E29" s="9">
        <v>84.433688469642348</v>
      </c>
      <c r="F29" s="9">
        <v>3.0035264700422579</v>
      </c>
      <c r="G29" s="9">
        <v>1.8406544086382033</v>
      </c>
      <c r="H29" s="9">
        <v>1.1628720614040546</v>
      </c>
      <c r="I29" s="9">
        <v>7169.0786933915269</v>
      </c>
      <c r="J29" s="9">
        <v>84.78000000000003</v>
      </c>
      <c r="K29" s="9">
        <v>146.70015636846486</v>
      </c>
      <c r="L29" s="9">
        <v>92.680903293903185</v>
      </c>
      <c r="M29" s="9">
        <v>33.308326563295317</v>
      </c>
      <c r="N29" s="9">
        <v>80.846507602522593</v>
      </c>
      <c r="O29" s="9">
        <v>7.6804182222396467</v>
      </c>
      <c r="P29" s="9">
        <v>0.54537877245132682</v>
      </c>
      <c r="Q29" s="9">
        <v>0.73626134280929123</v>
      </c>
      <c r="R29" s="9">
        <v>1.3824752800031364</v>
      </c>
      <c r="S29" s="9">
        <v>2.7268938622566341</v>
      </c>
      <c r="T29" s="9">
        <v>274.97879519038264</v>
      </c>
      <c r="U29" s="9">
        <v>6962.2429559318061</v>
      </c>
      <c r="V29" s="9">
        <v>0.4</v>
      </c>
      <c r="W29" s="9">
        <v>3.3308326563295317E-3</v>
      </c>
      <c r="X29" s="9">
        <v>4.710893400431502E-3</v>
      </c>
      <c r="Y29" s="9">
        <v>5.5088772991355506E-2</v>
      </c>
      <c r="Z29" s="9">
        <v>0.91</v>
      </c>
      <c r="AA29" s="9">
        <v>8.0846507602522592E-3</v>
      </c>
      <c r="AB29" s="9">
        <v>1.127711259147526E-2</v>
      </c>
      <c r="AC29" s="10">
        <v>0.12723956469380915</v>
      </c>
      <c r="AE29" s="6" t="s">
        <v>83</v>
      </c>
    </row>
    <row r="30" spans="1:31" x14ac:dyDescent="0.2">
      <c r="A30" s="6"/>
      <c r="B30" s="8">
        <v>18</v>
      </c>
      <c r="C30" s="9">
        <v>8.9999999999999993E-3</v>
      </c>
      <c r="D30" s="9">
        <v>9.7000000000000003E-3</v>
      </c>
      <c r="E30" s="9">
        <v>83.270816408238289</v>
      </c>
      <c r="F30" s="9">
        <v>3.0035264700422579</v>
      </c>
      <c r="G30" s="9">
        <v>1.8153037976995947</v>
      </c>
      <c r="H30" s="9">
        <v>1.1882226723426632</v>
      </c>
      <c r="I30" s="9">
        <v>6962.2429559318061</v>
      </c>
      <c r="J30" s="9">
        <v>83.470000000000027</v>
      </c>
      <c r="K30" s="9">
        <v>141.93860394213135</v>
      </c>
      <c r="L30" s="9">
        <v>92.907130750472874</v>
      </c>
      <c r="M30" s="9">
        <v>73.874334362306058</v>
      </c>
      <c r="N30" s="9">
        <v>85.142285504509388</v>
      </c>
      <c r="O30" s="9">
        <v>8.0885171229283923</v>
      </c>
      <c r="P30" s="9">
        <v>0.61744013810982057</v>
      </c>
      <c r="Q30" s="9">
        <v>0.83354418644825778</v>
      </c>
      <c r="R30" s="9">
        <v>1.4559330821271106</v>
      </c>
      <c r="S30" s="9">
        <v>3.0872006905491025</v>
      </c>
      <c r="T30" s="9">
        <v>310.8144680806044</v>
      </c>
      <c r="U30" s="9">
        <v>6710.3192053145176</v>
      </c>
      <c r="V30" s="9">
        <v>0.89999999999999991</v>
      </c>
      <c r="W30" s="9">
        <v>7.387433436230606E-3</v>
      </c>
      <c r="X30" s="9">
        <v>1.0764048796347146E-2</v>
      </c>
      <c r="Y30" s="9">
        <v>0.12178935834666815</v>
      </c>
      <c r="Z30" s="9">
        <v>0.97</v>
      </c>
      <c r="AA30" s="9">
        <v>8.5142285504509387E-3</v>
      </c>
      <c r="AB30" s="9">
        <v>1.2229145986921998E-2</v>
      </c>
      <c r="AC30" s="10">
        <v>0.13727081811562369</v>
      </c>
      <c r="AE30" s="6" t="s">
        <v>84</v>
      </c>
    </row>
    <row r="31" spans="1:31" x14ac:dyDescent="0.2">
      <c r="A31" s="6"/>
      <c r="B31" s="8">
        <v>19</v>
      </c>
      <c r="C31" s="9">
        <v>4.0000000000000001E-3</v>
      </c>
      <c r="D31" s="9">
        <v>1.03E-2</v>
      </c>
      <c r="E31" s="9">
        <v>82.082593735895628</v>
      </c>
      <c r="F31" s="9">
        <v>3.0035264700422579</v>
      </c>
      <c r="G31" s="9">
        <v>1.7894005434425246</v>
      </c>
      <c r="H31" s="9">
        <v>1.2141259265997333</v>
      </c>
      <c r="I31" s="9">
        <v>6710.3192053145176</v>
      </c>
      <c r="J31" s="9">
        <v>81.600000000000023</v>
      </c>
      <c r="K31" s="9">
        <v>136.29863939401713</v>
      </c>
      <c r="L31" s="9">
        <v>92.4799718291017</v>
      </c>
      <c r="M31" s="9">
        <v>32.347387123718356</v>
      </c>
      <c r="N31" s="9">
        <v>89.286098610457444</v>
      </c>
      <c r="O31" s="9">
        <v>8.4821793679934565</v>
      </c>
      <c r="P31" s="9">
        <v>0.52225199669367439</v>
      </c>
      <c r="Q31" s="9">
        <v>0.70504019553646047</v>
      </c>
      <c r="R31" s="9">
        <v>1.5267922862388221</v>
      </c>
      <c r="S31" s="9">
        <v>2.6112599834683721</v>
      </c>
      <c r="T31" s="9">
        <v>264.24283325289332</v>
      </c>
      <c r="U31" s="9">
        <v>6496.2057477512399</v>
      </c>
      <c r="V31" s="9">
        <v>0.4</v>
      </c>
      <c r="W31" s="9">
        <v>3.2347387123718356E-3</v>
      </c>
      <c r="X31" s="9">
        <v>4.8927818647184406E-3</v>
      </c>
      <c r="Y31" s="9">
        <v>5.7158874721552788E-2</v>
      </c>
      <c r="Z31" s="9">
        <v>1.03</v>
      </c>
      <c r="AA31" s="9">
        <v>8.9286098610457439E-3</v>
      </c>
      <c r="AB31" s="9">
        <v>1.3305790064315211E-2</v>
      </c>
      <c r="AC31" s="10">
        <v>0.14848763960234423</v>
      </c>
      <c r="AE31" s="6" t="s">
        <v>85</v>
      </c>
    </row>
    <row r="32" spans="1:31" x14ac:dyDescent="0.2">
      <c r="A32" s="6"/>
      <c r="B32" s="8">
        <v>20</v>
      </c>
      <c r="C32" s="9">
        <v>8.0000000000000002E-3</v>
      </c>
      <c r="D32" s="9">
        <v>1.0699999999999999E-2</v>
      </c>
      <c r="E32" s="9">
        <v>80.868467809295879</v>
      </c>
      <c r="F32" s="9">
        <v>3.0035264700422579</v>
      </c>
      <c r="G32" s="9">
        <v>1.7629325982426503</v>
      </c>
      <c r="H32" s="9">
        <v>1.2405938717996077</v>
      </c>
      <c r="I32" s="9">
        <v>6496.2057477512399</v>
      </c>
      <c r="J32" s="9">
        <v>80.170000000000016</v>
      </c>
      <c r="K32" s="9">
        <v>131.62054778479629</v>
      </c>
      <c r="L32" s="9">
        <v>92.622738468558723</v>
      </c>
      <c r="M32" s="9">
        <v>63.702299149997025</v>
      </c>
      <c r="N32" s="9">
        <v>91.56177332693531</v>
      </c>
      <c r="O32" s="9">
        <v>8.6983684660588541</v>
      </c>
      <c r="P32" s="9">
        <v>0.57589117080670404</v>
      </c>
      <c r="Q32" s="9">
        <v>0.77745308058905049</v>
      </c>
      <c r="R32" s="9">
        <v>1.5657063238905937</v>
      </c>
      <c r="S32" s="9">
        <v>2.8794558540335204</v>
      </c>
      <c r="T32" s="9">
        <v>290.84544744009105</v>
      </c>
      <c r="U32" s="9">
        <v>6248.3189368057483</v>
      </c>
      <c r="V32" s="9">
        <v>0.8</v>
      </c>
      <c r="W32" s="9">
        <v>6.3702299149997026E-3</v>
      </c>
      <c r="X32" s="9">
        <v>9.958545459665449E-3</v>
      </c>
      <c r="Y32" s="9">
        <v>0.11316963566560079</v>
      </c>
      <c r="Z32" s="9">
        <v>1.0699999999999998</v>
      </c>
      <c r="AA32" s="9">
        <v>9.1561773326935304E-3</v>
      </c>
      <c r="AB32" s="9">
        <v>1.4094654153869866E-2</v>
      </c>
      <c r="AC32" s="10">
        <v>0.15662124305012504</v>
      </c>
      <c r="AE32" s="6" t="s">
        <v>86</v>
      </c>
    </row>
    <row r="33" spans="1:31" x14ac:dyDescent="0.2">
      <c r="A33" s="6"/>
      <c r="B33" s="8">
        <v>21</v>
      </c>
      <c r="C33" s="9">
        <v>7.0000000000000001E-3</v>
      </c>
      <c r="D33" s="9">
        <v>1.0999999999999999E-2</v>
      </c>
      <c r="E33" s="9">
        <v>79.62787393749629</v>
      </c>
      <c r="F33" s="9">
        <v>3.0035264700422579</v>
      </c>
      <c r="G33" s="9">
        <v>1.7358876518374191</v>
      </c>
      <c r="H33" s="9">
        <v>1.2676388182048388</v>
      </c>
      <c r="I33" s="9">
        <v>6248.3189368057483</v>
      </c>
      <c r="J33" s="9">
        <v>78.300000000000026</v>
      </c>
      <c r="K33" s="9">
        <v>126.32054442420903</v>
      </c>
      <c r="L33" s="9">
        <v>92.246076800766147</v>
      </c>
      <c r="M33" s="9">
        <v>54.85216458350402</v>
      </c>
      <c r="N33" s="9">
        <v>92.877057316606567</v>
      </c>
      <c r="O33" s="9">
        <v>8.8233204450776235</v>
      </c>
      <c r="P33" s="9">
        <v>0.54683757161695834</v>
      </c>
      <c r="Q33" s="9">
        <v>0.73823072168289383</v>
      </c>
      <c r="R33" s="9">
        <v>1.5881976801139721</v>
      </c>
      <c r="S33" s="9">
        <v>2.734187858084792</v>
      </c>
      <c r="T33" s="9">
        <v>276.6346524220582</v>
      </c>
      <c r="U33" s="9">
        <v>6008.3436381048714</v>
      </c>
      <c r="V33" s="9">
        <v>0.70000000000000007</v>
      </c>
      <c r="W33" s="9">
        <v>5.4852164583504021E-3</v>
      </c>
      <c r="X33" s="9">
        <v>8.9204105101709716E-3</v>
      </c>
      <c r="Y33" s="9">
        <v>0.10194613296595767</v>
      </c>
      <c r="Z33" s="9">
        <v>1.0999999999999999</v>
      </c>
      <c r="AA33" s="9">
        <v>9.2877057316606559E-3</v>
      </c>
      <c r="AB33" s="9">
        <v>1.4864327230403346E-2</v>
      </c>
      <c r="AC33" s="10">
        <v>0.16448827815923295</v>
      </c>
      <c r="AE33" s="6" t="s">
        <v>87</v>
      </c>
    </row>
    <row r="34" spans="1:31" x14ac:dyDescent="0.2">
      <c r="A34" s="6"/>
      <c r="B34" s="8">
        <v>22</v>
      </c>
      <c r="C34" s="9">
        <v>5.0000000000000001E-3</v>
      </c>
      <c r="D34" s="9">
        <v>1.11E-2</v>
      </c>
      <c r="E34" s="9">
        <v>78.36023511929146</v>
      </c>
      <c r="F34" s="9">
        <v>3.0035264700422579</v>
      </c>
      <c r="G34" s="9">
        <v>1.7082531256005538</v>
      </c>
      <c r="H34" s="9">
        <v>1.2952733444417042</v>
      </c>
      <c r="I34" s="9">
        <v>6008.3436381048714</v>
      </c>
      <c r="J34" s="9">
        <v>76.500000000000028</v>
      </c>
      <c r="K34" s="9">
        <v>121.28597191763936</v>
      </c>
      <c r="L34" s="9">
        <v>91.964407455361027</v>
      </c>
      <c r="M34" s="9">
        <v>38.532480887424875</v>
      </c>
      <c r="N34" s="9">
        <v>92.430606213144515</v>
      </c>
      <c r="O34" s="9">
        <v>8.780907590248729</v>
      </c>
      <c r="P34" s="9">
        <v>0.50356572052085047</v>
      </c>
      <c r="Q34" s="9">
        <v>0.67981372270314822</v>
      </c>
      <c r="R34" s="9">
        <v>1.5805633662447711</v>
      </c>
      <c r="S34" s="9">
        <v>2.5178286026042525</v>
      </c>
      <c r="T34" s="9">
        <v>255.28199643860097</v>
      </c>
      <c r="U34" s="9">
        <v>5785.4161435489414</v>
      </c>
      <c r="V34" s="9">
        <v>0.5</v>
      </c>
      <c r="W34" s="9">
        <v>3.8532480887424874E-3</v>
      </c>
      <c r="X34" s="9">
        <v>6.5207000553475277E-3</v>
      </c>
      <c r="Y34" s="9">
        <v>7.550222264791584E-2</v>
      </c>
      <c r="Z34" s="9">
        <v>1.1100000000000001</v>
      </c>
      <c r="AA34" s="9">
        <v>9.2430606213144521E-3</v>
      </c>
      <c r="AB34" s="9">
        <v>1.538370835298938E-2</v>
      </c>
      <c r="AC34" s="10">
        <v>0.16975893781187201</v>
      </c>
      <c r="AE34" s="6" t="s">
        <v>88</v>
      </c>
    </row>
    <row r="35" spans="1:31" x14ac:dyDescent="0.2">
      <c r="A35" s="6"/>
      <c r="B35" s="8">
        <v>23</v>
      </c>
      <c r="C35" s="9">
        <v>6.0000000000000001E-3</v>
      </c>
      <c r="D35" s="9">
        <v>1.12E-2</v>
      </c>
      <c r="E35" s="9">
        <v>77.064961774849721</v>
      </c>
      <c r="F35" s="9">
        <v>3.0035264700422579</v>
      </c>
      <c r="G35" s="9">
        <v>1.6800161666917239</v>
      </c>
      <c r="H35" s="9">
        <v>1.323510303350534</v>
      </c>
      <c r="I35" s="9">
        <v>5785.4161435489414</v>
      </c>
      <c r="J35" s="9">
        <v>74.890000000000029</v>
      </c>
      <c r="K35" s="9">
        <v>116.69392293840721</v>
      </c>
      <c r="L35" s="9">
        <v>91.931025670728133</v>
      </c>
      <c r="M35" s="9">
        <v>45.444870882899515</v>
      </c>
      <c r="N35" s="9">
        <v>91.932504984203092</v>
      </c>
      <c r="O35" s="9">
        <v>8.7335879734992936</v>
      </c>
      <c r="P35" s="9">
        <v>0.50813963898406977</v>
      </c>
      <c r="Q35" s="9">
        <v>0.68598851262849414</v>
      </c>
      <c r="R35" s="9">
        <v>1.5720458352298727</v>
      </c>
      <c r="S35" s="9">
        <v>2.5406981949203487</v>
      </c>
      <c r="T35" s="9">
        <v>257.49653528377138</v>
      </c>
      <c r="U35" s="9">
        <v>5556.1077420111105</v>
      </c>
      <c r="V35" s="9">
        <v>0.6</v>
      </c>
      <c r="W35" s="9">
        <v>4.5444870882899516E-3</v>
      </c>
      <c r="X35" s="9">
        <v>7.9919953599176339E-3</v>
      </c>
      <c r="Y35" s="9">
        <v>9.1798701378402403E-2</v>
      </c>
      <c r="Z35" s="9">
        <v>1.1199999999999999</v>
      </c>
      <c r="AA35" s="9">
        <v>9.1932504984203085E-3</v>
      </c>
      <c r="AB35" s="9">
        <v>1.5890387606207534E-2</v>
      </c>
      <c r="AC35" s="10">
        <v>0.17487131343466888</v>
      </c>
      <c r="AE35" s="6" t="s">
        <v>89</v>
      </c>
    </row>
    <row r="36" spans="1:31" x14ac:dyDescent="0.2">
      <c r="A36" s="6"/>
      <c r="B36" s="8">
        <v>24</v>
      </c>
      <c r="C36" s="9">
        <v>0.01</v>
      </c>
      <c r="D36" s="9">
        <v>1.11E-2</v>
      </c>
      <c r="E36" s="9">
        <v>75.74145147149919</v>
      </c>
      <c r="F36" s="9">
        <v>3.0035264700422579</v>
      </c>
      <c r="G36" s="9">
        <v>1.6511636420786824</v>
      </c>
      <c r="H36" s="9">
        <v>1.3523628279635755</v>
      </c>
      <c r="I36" s="9">
        <v>5556.1077420111105</v>
      </c>
      <c r="J36" s="9">
        <v>73.17000000000003</v>
      </c>
      <c r="K36" s="9">
        <v>112.04796475145943</v>
      </c>
      <c r="L36" s="9">
        <v>91.771341505608277</v>
      </c>
      <c r="M36" s="9">
        <v>74.389088643535615</v>
      </c>
      <c r="N36" s="9">
        <v>89.763999268318429</v>
      </c>
      <c r="O36" s="9">
        <v>8.5275799304902513</v>
      </c>
      <c r="P36" s="9">
        <v>0.55641678980120668</v>
      </c>
      <c r="Q36" s="9">
        <v>0.75116266623162897</v>
      </c>
      <c r="R36" s="9">
        <v>1.5349643874882453</v>
      </c>
      <c r="S36" s="9">
        <v>2.782083949006033</v>
      </c>
      <c r="T36" s="9">
        <v>281.11134703856646</v>
      </c>
      <c r="U36" s="9">
        <v>5300.1833125936482</v>
      </c>
      <c r="V36" s="9">
        <v>1</v>
      </c>
      <c r="W36" s="9">
        <v>7.4389088643535611E-3</v>
      </c>
      <c r="X36" s="9">
        <v>1.3631477174371184E-2</v>
      </c>
      <c r="Y36" s="9">
        <v>0.15185432016695</v>
      </c>
      <c r="Z36" s="9">
        <v>1.1100000000000001</v>
      </c>
      <c r="AA36" s="9">
        <v>8.9763999268318434E-3</v>
      </c>
      <c r="AB36" s="9">
        <v>1.6155914074450092E-2</v>
      </c>
      <c r="AC36" s="10">
        <v>0.17753892686938244</v>
      </c>
      <c r="AE36" s="6" t="s">
        <v>90</v>
      </c>
    </row>
    <row r="37" spans="1:31" x14ac:dyDescent="0.2">
      <c r="A37" s="6"/>
      <c r="B37" s="8">
        <v>25</v>
      </c>
      <c r="C37" s="9">
        <v>0.01</v>
      </c>
      <c r="D37" s="9">
        <v>1.09E-2</v>
      </c>
      <c r="E37" s="9">
        <v>74.389088643535615</v>
      </c>
      <c r="F37" s="9">
        <v>3.0035264700422579</v>
      </c>
      <c r="G37" s="9">
        <v>1.6216821324290764</v>
      </c>
      <c r="H37" s="9">
        <v>1.3818443376131815</v>
      </c>
      <c r="I37" s="9">
        <v>5300.1833125936482</v>
      </c>
      <c r="J37" s="9">
        <v>71.060000000000031</v>
      </c>
      <c r="K37" s="9">
        <v>106.86885252707619</v>
      </c>
      <c r="L37" s="9">
        <v>91.063541848708709</v>
      </c>
      <c r="M37" s="9">
        <v>73.007244305922427</v>
      </c>
      <c r="N37" s="9">
        <v>86.794382591870956</v>
      </c>
      <c r="O37" s="9">
        <v>8.2454663462277402</v>
      </c>
      <c r="P37" s="9">
        <v>0.54187927736341468</v>
      </c>
      <c r="Q37" s="9">
        <v>0.73153702444060986</v>
      </c>
      <c r="R37" s="9">
        <v>1.4841839423209933</v>
      </c>
      <c r="S37" s="9">
        <v>2.7093963868170734</v>
      </c>
      <c r="T37" s="9">
        <v>273.71810839699293</v>
      </c>
      <c r="U37" s="9">
        <v>5049.3181438471456</v>
      </c>
      <c r="V37" s="9">
        <v>1</v>
      </c>
      <c r="W37" s="9">
        <v>7.300724430592243E-3</v>
      </c>
      <c r="X37" s="9">
        <v>1.4034485258386247E-2</v>
      </c>
      <c r="Y37" s="9">
        <v>0.15600338814046999</v>
      </c>
      <c r="Z37" s="9">
        <v>1.0900000000000001</v>
      </c>
      <c r="AA37" s="9">
        <v>8.6794382591870948E-3</v>
      </c>
      <c r="AB37" s="9">
        <v>1.6375732210174833E-2</v>
      </c>
      <c r="AC37" s="10">
        <v>0.17974134728715019</v>
      </c>
      <c r="AE37" s="6" t="s">
        <v>91</v>
      </c>
    </row>
    <row r="38" spans="1:31" x14ac:dyDescent="0.2">
      <c r="A38" s="6"/>
      <c r="B38" s="8">
        <v>26</v>
      </c>
      <c r="C38" s="9">
        <v>5.0000000000000001E-3</v>
      </c>
      <c r="D38" s="9">
        <v>1.0699999999999999E-2</v>
      </c>
      <c r="E38" s="9">
        <v>73.007244305922441</v>
      </c>
      <c r="F38" s="9">
        <v>3.0035264700422579</v>
      </c>
      <c r="G38" s="9">
        <v>1.5915579258691093</v>
      </c>
      <c r="H38" s="9">
        <v>1.4119685441731487</v>
      </c>
      <c r="I38" s="9">
        <v>5049.3181438471456</v>
      </c>
      <c r="J38" s="9">
        <v>68.970000000000027</v>
      </c>
      <c r="K38" s="9">
        <v>101.84379167636435</v>
      </c>
      <c r="L38" s="9">
        <v>90.351867141639829</v>
      </c>
      <c r="M38" s="9">
        <v>35.797637880874646</v>
      </c>
      <c r="N38" s="9">
        <v>83.845451577641853</v>
      </c>
      <c r="O38" s="9">
        <v>7.9653178998759762</v>
      </c>
      <c r="P38" s="9">
        <v>0.45598659339775766</v>
      </c>
      <c r="Q38" s="9">
        <v>0.61558190108697286</v>
      </c>
      <c r="R38" s="9">
        <v>1.4337572219776757</v>
      </c>
      <c r="S38" s="9">
        <v>2.2799329669887882</v>
      </c>
      <c r="T38" s="9">
        <v>231.17335591530357</v>
      </c>
      <c r="U38" s="9">
        <v>4839.3231872469896</v>
      </c>
      <c r="V38" s="9">
        <v>0.5</v>
      </c>
      <c r="W38" s="9">
        <v>3.5797637880874648E-3</v>
      </c>
      <c r="X38" s="9">
        <v>7.2290206236944347E-3</v>
      </c>
      <c r="Y38" s="9">
        <v>8.3380945861118994E-2</v>
      </c>
      <c r="Z38" s="9">
        <v>1.0699999999999998</v>
      </c>
      <c r="AA38" s="9">
        <v>8.3845451577641856E-3</v>
      </c>
      <c r="AB38" s="9">
        <v>1.6605301783135185E-2</v>
      </c>
      <c r="AC38" s="10">
        <v>0.18203569771189443</v>
      </c>
      <c r="AE38" s="6" t="s">
        <v>92</v>
      </c>
    </row>
    <row r="39" spans="1:31" x14ac:dyDescent="0.2">
      <c r="A39" s="6"/>
      <c r="B39" s="8">
        <v>27</v>
      </c>
      <c r="C39" s="9">
        <v>8.9999999999999993E-3</v>
      </c>
      <c r="D39" s="9">
        <v>1.04E-2</v>
      </c>
      <c r="E39" s="9">
        <v>71.595275761749292</v>
      </c>
      <c r="F39" s="9">
        <v>3.0035264700422579</v>
      </c>
      <c r="G39" s="9">
        <v>1.5607770116061346</v>
      </c>
      <c r="H39" s="9">
        <v>1.4427494584361233</v>
      </c>
      <c r="I39" s="9">
        <v>4839.3231872469896</v>
      </c>
      <c r="J39" s="9">
        <v>67.400000000000034</v>
      </c>
      <c r="K39" s="9">
        <v>97.735856466776198</v>
      </c>
      <c r="L39" s="9">
        <v>90.344971087270096</v>
      </c>
      <c r="M39" s="9">
        <v>63.137273672981841</v>
      </c>
      <c r="N39" s="9">
        <v>80.147560245843707</v>
      </c>
      <c r="O39" s="9">
        <v>7.6140182233551519</v>
      </c>
      <c r="P39" s="9">
        <v>0.50243620245405629</v>
      </c>
      <c r="Q39" s="9">
        <v>0.67828887331297605</v>
      </c>
      <c r="R39" s="9">
        <v>1.3705232802039273</v>
      </c>
      <c r="S39" s="9">
        <v>2.5121810122702817</v>
      </c>
      <c r="T39" s="9">
        <v>253.76869008214203</v>
      </c>
      <c r="U39" s="9">
        <v>4605.6933822408937</v>
      </c>
      <c r="V39" s="9">
        <v>0.89999999999999991</v>
      </c>
      <c r="W39" s="9">
        <v>6.3137273672981839E-3</v>
      </c>
      <c r="X39" s="9">
        <v>1.3314252126793156E-2</v>
      </c>
      <c r="Y39" s="9">
        <v>0.148575268099845</v>
      </c>
      <c r="Z39" s="9">
        <v>1.04</v>
      </c>
      <c r="AA39" s="9">
        <v>8.0147560245843706E-3</v>
      </c>
      <c r="AB39" s="9">
        <v>1.6561729222188674E-2</v>
      </c>
      <c r="AC39" s="10">
        <v>0.18160068028170251</v>
      </c>
      <c r="AE39" s="6" t="s">
        <v>93</v>
      </c>
    </row>
    <row r="40" spans="1:31" x14ac:dyDescent="0.2">
      <c r="A40" s="6"/>
      <c r="B40" s="8">
        <v>28</v>
      </c>
      <c r="C40" s="9">
        <v>4.0000000000000001E-3</v>
      </c>
      <c r="D40" s="9">
        <v>0.01</v>
      </c>
      <c r="E40" s="9">
        <v>70.152526303313152</v>
      </c>
      <c r="F40" s="9">
        <v>3.0035264700422579</v>
      </c>
      <c r="G40" s="9">
        <v>1.5293250734122268</v>
      </c>
      <c r="H40" s="9">
        <v>1.4742013966300311</v>
      </c>
      <c r="I40" s="9">
        <v>4605.6933822408937</v>
      </c>
      <c r="J40" s="9">
        <v>65.460000000000022</v>
      </c>
      <c r="K40" s="9">
        <v>93.135896970804637</v>
      </c>
      <c r="L40" s="9">
        <v>89.778865054768929</v>
      </c>
      <c r="M40" s="9">
        <v>27.471329962673249</v>
      </c>
      <c r="N40" s="9">
        <v>75.74145147149919</v>
      </c>
      <c r="O40" s="9">
        <v>7.1954378897924229</v>
      </c>
      <c r="P40" s="9">
        <v>0.42077218397649363</v>
      </c>
      <c r="Q40" s="9">
        <v>0.56804244836826645</v>
      </c>
      <c r="R40" s="9">
        <v>1.2951788201626362</v>
      </c>
      <c r="S40" s="9">
        <v>2.103860919882468</v>
      </c>
      <c r="T40" s="9">
        <v>213.1936755056494</v>
      </c>
      <c r="U40" s="9">
        <v>4412.7017357519526</v>
      </c>
      <c r="V40" s="9">
        <v>0.4</v>
      </c>
      <c r="W40" s="9">
        <v>2.7471329962673249E-3</v>
      </c>
      <c r="X40" s="9">
        <v>6.0922952482640345E-3</v>
      </c>
      <c r="Y40" s="9">
        <v>7.0706954455343363E-2</v>
      </c>
      <c r="Z40" s="9">
        <v>1</v>
      </c>
      <c r="AA40" s="9">
        <v>7.574145147149919E-3</v>
      </c>
      <c r="AB40" s="9">
        <v>1.6445178865694982E-2</v>
      </c>
      <c r="AC40" s="10">
        <v>0.18043602846250273</v>
      </c>
    </row>
    <row r="41" spans="1:31" x14ac:dyDescent="0.2">
      <c r="A41" s="6"/>
      <c r="B41" s="8">
        <v>29</v>
      </c>
      <c r="C41" s="9">
        <v>7.0000000000000001E-3</v>
      </c>
      <c r="D41" s="9">
        <v>9.5999999999999992E-3</v>
      </c>
      <c r="E41" s="9">
        <v>68.67832490668313</v>
      </c>
      <c r="F41" s="9">
        <v>3.0035264700422579</v>
      </c>
      <c r="G41" s="9">
        <v>1.4971874829656922</v>
      </c>
      <c r="H41" s="9">
        <v>1.5063389870765658</v>
      </c>
      <c r="I41" s="9">
        <v>4412.7017357519526</v>
      </c>
      <c r="J41" s="9">
        <v>64.060000000000016</v>
      </c>
      <c r="K41" s="9">
        <v>89.427008357540814</v>
      </c>
      <c r="L41" s="9">
        <v>89.973627698083305</v>
      </c>
      <c r="M41" s="9">
        <v>47.020390143724605</v>
      </c>
      <c r="N41" s="9">
        <v>71.413525097794192</v>
      </c>
      <c r="O41" s="9">
        <v>6.7842848842904484</v>
      </c>
      <c r="P41" s="9">
        <v>0.45284205239869746</v>
      </c>
      <c r="Q41" s="9">
        <v>0.61133677073824155</v>
      </c>
      <c r="R41" s="9">
        <v>1.2211712791722806</v>
      </c>
      <c r="S41" s="9">
        <v>2.2642102619934872</v>
      </c>
      <c r="T41" s="9">
        <v>228.65575071933648</v>
      </c>
      <c r="U41" s="9">
        <v>4204.294192812351</v>
      </c>
      <c r="V41" s="9">
        <v>0.70000000000000007</v>
      </c>
      <c r="W41" s="9">
        <v>4.7020390143724606E-3</v>
      </c>
      <c r="X41" s="9">
        <v>1.0893917909628046E-2</v>
      </c>
      <c r="Y41" s="9">
        <v>0.12317188134978863</v>
      </c>
      <c r="Z41" s="9">
        <v>0.96</v>
      </c>
      <c r="AA41" s="9">
        <v>7.1413525097794193E-3</v>
      </c>
      <c r="AB41" s="9">
        <v>1.6183628392374194E-2</v>
      </c>
      <c r="AC41" s="10">
        <v>0.17781690282281981</v>
      </c>
    </row>
    <row r="42" spans="1:31" x14ac:dyDescent="0.2">
      <c r="A42" s="6"/>
      <c r="B42" s="8">
        <v>30</v>
      </c>
      <c r="C42" s="9">
        <v>4.0000000000000001E-3</v>
      </c>
      <c r="D42" s="9">
        <v>9.1000000000000004E-3</v>
      </c>
      <c r="E42" s="9">
        <v>67.171985919606541</v>
      </c>
      <c r="F42" s="9">
        <v>3.0035264700422579</v>
      </c>
      <c r="G42" s="9">
        <v>1.4643492930474227</v>
      </c>
      <c r="H42" s="9">
        <v>1.5391771769948352</v>
      </c>
      <c r="I42" s="9">
        <v>4204.294192812351</v>
      </c>
      <c r="J42" s="9">
        <v>62.400000000000013</v>
      </c>
      <c r="K42" s="9">
        <v>85.386207277595247</v>
      </c>
      <c r="L42" s="9">
        <v>89.749421190568867</v>
      </c>
      <c r="M42" s="9">
        <v>26.253123497044683</v>
      </c>
      <c r="N42" s="9">
        <v>66.43659231838943</v>
      </c>
      <c r="O42" s="9">
        <v>6.3114762702469962</v>
      </c>
      <c r="P42" s="9">
        <v>0.40277750393041756</v>
      </c>
      <c r="Q42" s="9">
        <v>0.54374963030606371</v>
      </c>
      <c r="R42" s="9">
        <v>1.1360657286444593</v>
      </c>
      <c r="S42" s="9">
        <v>2.0138875196520876</v>
      </c>
      <c r="T42" s="9">
        <v>203.60374785292274</v>
      </c>
      <c r="U42" s="9">
        <v>4021.855055806348</v>
      </c>
      <c r="V42" s="9">
        <v>0.4</v>
      </c>
      <c r="W42" s="9">
        <v>2.6253123497044684E-3</v>
      </c>
      <c r="X42" s="9">
        <v>6.3903429577018859E-3</v>
      </c>
      <c r="Y42" s="9">
        <v>7.4045501522208124E-2</v>
      </c>
      <c r="Z42" s="9">
        <v>0.91</v>
      </c>
      <c r="AA42" s="9">
        <v>6.6436592318389427E-3</v>
      </c>
      <c r="AB42" s="9">
        <v>1.5802079795455139E-2</v>
      </c>
      <c r="AC42" s="10">
        <v>0.17398237245470682</v>
      </c>
    </row>
    <row r="43" spans="1:31" x14ac:dyDescent="0.2">
      <c r="A43" s="6"/>
      <c r="B43" s="8">
        <v>31</v>
      </c>
      <c r="C43" s="9">
        <v>0.01</v>
      </c>
      <c r="D43" s="9">
        <v>8.6999999999999994E-3</v>
      </c>
      <c r="E43" s="9">
        <v>65.632808742611715</v>
      </c>
      <c r="F43" s="9">
        <v>3.0035264700422579</v>
      </c>
      <c r="G43" s="9">
        <v>1.4307952305889353</v>
      </c>
      <c r="H43" s="9">
        <v>1.5727312394533226</v>
      </c>
      <c r="I43" s="9">
        <v>4021.855055806348</v>
      </c>
      <c r="J43" s="9">
        <v>61.090000000000018</v>
      </c>
      <c r="K43" s="9">
        <v>81.898718998910681</v>
      </c>
      <c r="L43" s="9">
        <v>90.023136146308218</v>
      </c>
      <c r="M43" s="9">
        <v>64.060077503158396</v>
      </c>
      <c r="N43" s="9">
        <v>62.287889912721873</v>
      </c>
      <c r="O43" s="9">
        <v>5.9173495417085782</v>
      </c>
      <c r="P43" s="9">
        <v>0.4719638652967546</v>
      </c>
      <c r="Q43" s="9">
        <v>0.6371512181506187</v>
      </c>
      <c r="R43" s="9">
        <v>1.0651229175075441</v>
      </c>
      <c r="S43" s="9">
        <v>2.3598193264837728</v>
      </c>
      <c r="T43" s="9">
        <v>237.36522486264718</v>
      </c>
      <c r="U43" s="9">
        <v>3805.4839522441594</v>
      </c>
      <c r="V43" s="9">
        <v>1</v>
      </c>
      <c r="W43" s="9">
        <v>6.4060077503158399E-3</v>
      </c>
      <c r="X43" s="9">
        <v>1.6317808949243524E-2</v>
      </c>
      <c r="Y43" s="9">
        <v>0.17916152287040743</v>
      </c>
      <c r="Z43" s="9">
        <v>0.86999999999999988</v>
      </c>
      <c r="AA43" s="9">
        <v>6.2287889912721875E-3</v>
      </c>
      <c r="AB43" s="9">
        <v>1.5487353235864856E-2</v>
      </c>
      <c r="AC43" s="10">
        <v>0.17080706716076122</v>
      </c>
    </row>
    <row r="44" spans="1:31" x14ac:dyDescent="0.2">
      <c r="A44" s="6"/>
      <c r="B44" s="8">
        <v>32</v>
      </c>
      <c r="C44" s="9">
        <v>4.0000000000000001E-3</v>
      </c>
      <c r="D44" s="9">
        <v>8.2000000000000007E-3</v>
      </c>
      <c r="E44" s="9">
        <v>64.060077503158396</v>
      </c>
      <c r="F44" s="9">
        <v>3.0035264700422579</v>
      </c>
      <c r="G44" s="9">
        <v>1.3965096895688531</v>
      </c>
      <c r="H44" s="9">
        <v>1.6070167804734048</v>
      </c>
      <c r="I44" s="9">
        <v>3805.4839522441594</v>
      </c>
      <c r="J44" s="9">
        <v>59.22000000000002</v>
      </c>
      <c r="K44" s="9">
        <v>77.659903836923945</v>
      </c>
      <c r="L44" s="9">
        <v>89.36620316212607</v>
      </c>
      <c r="M44" s="9">
        <v>24.981224289074</v>
      </c>
      <c r="N44" s="9">
        <v>57.52507156871679</v>
      </c>
      <c r="O44" s="9">
        <v>5.4648817990280953</v>
      </c>
      <c r="P44" s="9">
        <v>0.384014662576248</v>
      </c>
      <c r="Q44" s="9">
        <v>0.51841979447793485</v>
      </c>
      <c r="R44" s="9">
        <v>0.98367872382505717</v>
      </c>
      <c r="S44" s="9">
        <v>1.9200733128812399</v>
      </c>
      <c r="T44" s="9">
        <v>193.66602659339162</v>
      </c>
      <c r="U44" s="9">
        <v>3633.6114532242427</v>
      </c>
      <c r="V44" s="9">
        <v>0.4</v>
      </c>
      <c r="W44" s="9">
        <v>2.4981224289073998E-3</v>
      </c>
      <c r="X44" s="9">
        <v>6.732909399447636E-3</v>
      </c>
      <c r="Y44" s="9">
        <v>7.7869137566904612E-2</v>
      </c>
      <c r="Z44" s="9">
        <v>0.82000000000000006</v>
      </c>
      <c r="AA44" s="9">
        <v>5.7525071568716793E-3</v>
      </c>
      <c r="AB44" s="9">
        <v>1.5116361621967493E-2</v>
      </c>
      <c r="AC44" s="10">
        <v>0.16704973208195539</v>
      </c>
    </row>
    <row r="45" spans="1:31" x14ac:dyDescent="0.2">
      <c r="A45" s="6"/>
      <c r="B45" s="8">
        <v>33</v>
      </c>
      <c r="C45" s="9">
        <v>8.0000000000000002E-3</v>
      </c>
      <c r="D45" s="9">
        <v>7.7000000000000002E-3</v>
      </c>
      <c r="E45" s="9">
        <v>62.453060722684981</v>
      </c>
      <c r="F45" s="9">
        <v>3.0035264700422579</v>
      </c>
      <c r="G45" s="9">
        <v>1.3614767237545327</v>
      </c>
      <c r="H45" s="9">
        <v>1.6420497462877253</v>
      </c>
      <c r="I45" s="9">
        <v>3633.6114532242427</v>
      </c>
      <c r="J45" s="9">
        <v>58.000000000000021</v>
      </c>
      <c r="K45" s="9">
        <v>74.377473418710153</v>
      </c>
      <c r="L45" s="9">
        <v>89.705177639698476</v>
      </c>
      <c r="M45" s="9">
        <v>48.648808781117808</v>
      </c>
      <c r="N45" s="9">
        <v>52.882310178146014</v>
      </c>
      <c r="O45" s="9">
        <v>5.0238194669238716</v>
      </c>
      <c r="P45" s="9">
        <v>0.42546291967905292</v>
      </c>
      <c r="Q45" s="9">
        <v>0.57437494156672142</v>
      </c>
      <c r="R45" s="9">
        <v>0.90428750404629687</v>
      </c>
      <c r="S45" s="9">
        <v>2.1273145983952646</v>
      </c>
      <c r="T45" s="9">
        <v>213.72383934276297</v>
      </c>
      <c r="U45" s="9">
        <v>3442.3751566252809</v>
      </c>
      <c r="V45" s="9">
        <v>0.8</v>
      </c>
      <c r="W45" s="9">
        <v>4.8648808781117806E-3</v>
      </c>
      <c r="X45" s="9">
        <v>1.3748922095404643E-2</v>
      </c>
      <c r="Y45" s="9">
        <v>0.15306537092998751</v>
      </c>
      <c r="Z45" s="9">
        <v>0.77</v>
      </c>
      <c r="AA45" s="9">
        <v>5.2882310178146014E-3</v>
      </c>
      <c r="AB45" s="9">
        <v>1.4553650234457928E-2</v>
      </c>
      <c r="AC45" s="10">
        <v>0.16132089743353462</v>
      </c>
    </row>
    <row r="46" spans="1:31" x14ac:dyDescent="0.2">
      <c r="A46" s="6"/>
      <c r="B46" s="8">
        <v>34</v>
      </c>
      <c r="C46" s="9">
        <v>8.9999999999999993E-3</v>
      </c>
      <c r="D46" s="9">
        <v>7.1999999999999998E-3</v>
      </c>
      <c r="E46" s="9">
        <v>60.811010976397249</v>
      </c>
      <c r="F46" s="9">
        <v>3.0035264700422579</v>
      </c>
      <c r="G46" s="9">
        <v>1.32568003928546</v>
      </c>
      <c r="H46" s="9">
        <v>1.677846430756798</v>
      </c>
      <c r="I46" s="9">
        <v>3442.3751566252809</v>
      </c>
      <c r="J46" s="9">
        <v>56.430000000000021</v>
      </c>
      <c r="K46" s="9">
        <v>70.645489293522189</v>
      </c>
      <c r="L46" s="9">
        <v>89.412436295029792</v>
      </c>
      <c r="M46" s="9">
        <v>53.2198480910764</v>
      </c>
      <c r="N46" s="9">
        <v>48.36382986211671</v>
      </c>
      <c r="O46" s="9">
        <v>4.5945638369010871</v>
      </c>
      <c r="P46" s="9">
        <v>0.42655554735925683</v>
      </c>
      <c r="Q46" s="9">
        <v>0.57584998893499673</v>
      </c>
      <c r="R46" s="9">
        <v>0.82702149064219566</v>
      </c>
      <c r="S46" s="9">
        <v>2.1327777367962844</v>
      </c>
      <c r="T46" s="9">
        <v>213.91013275279676</v>
      </c>
      <c r="U46" s="9">
        <v>3251.3790423770579</v>
      </c>
      <c r="V46" s="9">
        <v>0.89999999999999991</v>
      </c>
      <c r="W46" s="9">
        <v>5.3219848091076404E-3</v>
      </c>
      <c r="X46" s="9">
        <v>1.5897463627035206E-2</v>
      </c>
      <c r="Y46" s="9">
        <v>0.17494250546620194</v>
      </c>
      <c r="Z46" s="9">
        <v>0.72</v>
      </c>
      <c r="AA46" s="9">
        <v>4.8363829862116707E-3</v>
      </c>
      <c r="AB46" s="9">
        <v>1.4049552318269111E-2</v>
      </c>
      <c r="AC46" s="10">
        <v>0.15615814582986909</v>
      </c>
    </row>
    <row r="47" spans="1:31" x14ac:dyDescent="0.2">
      <c r="A47" s="6"/>
      <c r="B47" s="8">
        <v>35</v>
      </c>
      <c r="C47" s="9">
        <v>6.0000000000000001E-3</v>
      </c>
      <c r="D47" s="9">
        <v>6.7000000000000002E-3</v>
      </c>
      <c r="E47" s="9">
        <v>59.133164545640447</v>
      </c>
      <c r="F47" s="9">
        <v>3.0035264700422579</v>
      </c>
      <c r="G47" s="9">
        <v>1.2891029870949617</v>
      </c>
      <c r="H47" s="9">
        <v>1.7144234829472962</v>
      </c>
      <c r="I47" s="9">
        <v>3251.3790423770579</v>
      </c>
      <c r="J47" s="9">
        <v>54.810000000000024</v>
      </c>
      <c r="K47" s="9">
        <v>66.891554000357587</v>
      </c>
      <c r="L47" s="9">
        <v>88.961434530135236</v>
      </c>
      <c r="M47" s="9">
        <v>34.451244637615886</v>
      </c>
      <c r="N47" s="9">
        <v>43.973981857549852</v>
      </c>
      <c r="O47" s="9">
        <v>4.1775282764672363</v>
      </c>
      <c r="P47" s="9">
        <v>0.38060846633621748</v>
      </c>
      <c r="Q47" s="9">
        <v>0.51382142955389365</v>
      </c>
      <c r="R47" s="9">
        <v>0.75195508976410252</v>
      </c>
      <c r="S47" s="9">
        <v>1.9030423316810874</v>
      </c>
      <c r="T47" s="9">
        <v>190.93233412724067</v>
      </c>
      <c r="U47" s="9">
        <v>3083.9923813517571</v>
      </c>
      <c r="V47" s="9">
        <v>0.6</v>
      </c>
      <c r="W47" s="9">
        <v>3.4451244637615885E-3</v>
      </c>
      <c r="X47" s="9">
        <v>1.0911230523103386E-2</v>
      </c>
      <c r="Y47" s="9">
        <v>0.1233560321739896</v>
      </c>
      <c r="Z47" s="9">
        <v>0.67</v>
      </c>
      <c r="AA47" s="9">
        <v>4.3973981857549855E-3</v>
      </c>
      <c r="AB47" s="9">
        <v>1.352471713830105E-2</v>
      </c>
      <c r="AC47" s="10">
        <v>0.15075207105581001</v>
      </c>
    </row>
    <row r="48" spans="1:31" x14ac:dyDescent="0.2">
      <c r="A48" s="6"/>
      <c r="B48" s="8">
        <v>36</v>
      </c>
      <c r="C48" s="9">
        <v>6.0000000000000001E-3</v>
      </c>
      <c r="D48" s="9">
        <v>6.3E-3</v>
      </c>
      <c r="E48" s="9">
        <v>57.418741062693158</v>
      </c>
      <c r="F48" s="9">
        <v>3.0035264700422579</v>
      </c>
      <c r="G48" s="9">
        <v>1.2517285551667108</v>
      </c>
      <c r="H48" s="9">
        <v>1.7517979148755471</v>
      </c>
      <c r="I48" s="9">
        <v>3083.9923813517571</v>
      </c>
      <c r="J48" s="9">
        <v>53.54000000000002</v>
      </c>
      <c r="K48" s="9">
        <v>63.625362459123934</v>
      </c>
      <c r="L48" s="9">
        <v>89.043888013124089</v>
      </c>
      <c r="M48" s="9">
        <v>33.400165888690566</v>
      </c>
      <c r="N48" s="9">
        <v>40.357848826989787</v>
      </c>
      <c r="O48" s="9">
        <v>3.8339956385640299</v>
      </c>
      <c r="P48" s="9">
        <v>0.3721388327218772</v>
      </c>
      <c r="Q48" s="9">
        <v>0.50238742417453419</v>
      </c>
      <c r="R48" s="9">
        <v>0.69011921494152539</v>
      </c>
      <c r="S48" s="9">
        <v>1.8606941636093859</v>
      </c>
      <c r="T48" s="9">
        <v>186.47807236405529</v>
      </c>
      <c r="U48" s="9">
        <v>2921.1904786229525</v>
      </c>
      <c r="V48" s="9">
        <v>0.6</v>
      </c>
      <c r="W48" s="9">
        <v>3.3400165888690567E-3</v>
      </c>
      <c r="X48" s="9">
        <v>1.1169872706635862E-2</v>
      </c>
      <c r="Y48" s="9">
        <v>0.126102939858874</v>
      </c>
      <c r="Z48" s="9">
        <v>0.63</v>
      </c>
      <c r="AA48" s="9">
        <v>4.0357848826989787E-3</v>
      </c>
      <c r="AB48" s="9">
        <v>1.3086234930742719E-2</v>
      </c>
      <c r="AC48" s="10">
        <v>0.14621115459884726</v>
      </c>
    </row>
    <row r="49" spans="2:29" x14ac:dyDescent="0.2">
      <c r="B49" s="8">
        <v>37</v>
      </c>
      <c r="C49" s="9">
        <v>7.0000000000000001E-3</v>
      </c>
      <c r="D49" s="9">
        <v>5.7999999999999996E-3</v>
      </c>
      <c r="E49" s="9">
        <v>55.666943147817605</v>
      </c>
      <c r="F49" s="9">
        <v>3.0035264700422579</v>
      </c>
      <c r="G49" s="9">
        <v>1.2135393606224238</v>
      </c>
      <c r="H49" s="9">
        <v>1.7899871094198341</v>
      </c>
      <c r="I49" s="9">
        <v>2921.1904786229525</v>
      </c>
      <c r="J49" s="9">
        <v>52.310000000000016</v>
      </c>
      <c r="K49" s="9">
        <v>60.446395552602951</v>
      </c>
      <c r="L49" s="9">
        <v>89.159257920201966</v>
      </c>
      <c r="M49" s="9">
        <v>37.713869226878444</v>
      </c>
      <c r="N49" s="9">
        <v>36.222775219157285</v>
      </c>
      <c r="O49" s="9">
        <v>3.4411636458199419</v>
      </c>
      <c r="P49" s="9">
        <v>0.37463904539936677</v>
      </c>
      <c r="Q49" s="9">
        <v>0.50576271128914518</v>
      </c>
      <c r="R49" s="9">
        <v>0.61940945624758947</v>
      </c>
      <c r="S49" s="9">
        <v>1.8731952269968337</v>
      </c>
      <c r="T49" s="9">
        <v>187.38767990557039</v>
      </c>
      <c r="U49" s="9">
        <v>2758.0945762567144</v>
      </c>
      <c r="V49" s="9">
        <v>0.70000000000000007</v>
      </c>
      <c r="W49" s="9">
        <v>3.7713869226878444E-3</v>
      </c>
      <c r="X49" s="9">
        <v>1.333797309525101E-2</v>
      </c>
      <c r="Y49" s="9">
        <v>0.14882086543155126</v>
      </c>
      <c r="Z49" s="9">
        <v>0.57999999999999996</v>
      </c>
      <c r="AA49" s="9">
        <v>3.6222775219157287E-3</v>
      </c>
      <c r="AB49" s="9">
        <v>1.2400004547540727E-2</v>
      </c>
      <c r="AC49" s="10">
        <v>0.13905987085489557</v>
      </c>
    </row>
    <row r="50" spans="2:29" x14ac:dyDescent="0.2">
      <c r="B50" s="8">
        <v>38</v>
      </c>
      <c r="C50" s="9">
        <v>5.0000000000000001E-3</v>
      </c>
      <c r="D50" s="9">
        <v>5.4000000000000003E-3</v>
      </c>
      <c r="E50" s="9">
        <v>53.876956038397758</v>
      </c>
      <c r="F50" s="9">
        <v>3.0035264700422579</v>
      </c>
      <c r="G50" s="9">
        <v>1.1745176416370711</v>
      </c>
      <c r="H50" s="9">
        <v>1.8290088284051869</v>
      </c>
      <c r="I50" s="9">
        <v>2758.0945762567144</v>
      </c>
      <c r="J50" s="9">
        <v>51.030000000000015</v>
      </c>
      <c r="K50" s="9">
        <v>57.222499500558115</v>
      </c>
      <c r="L50" s="9">
        <v>89.109310119900726</v>
      </c>
      <c r="M50" s="9">
        <v>26.023973604996286</v>
      </c>
      <c r="N50" s="9">
        <v>32.837945927254516</v>
      </c>
      <c r="O50" s="9">
        <v>3.1196048630891791</v>
      </c>
      <c r="P50" s="9">
        <v>0.34471156645091028</v>
      </c>
      <c r="Q50" s="9">
        <v>0.46536061470872886</v>
      </c>
      <c r="R50" s="9">
        <v>0.56152887535605223</v>
      </c>
      <c r="S50" s="9">
        <v>1.7235578322545513</v>
      </c>
      <c r="T50" s="9">
        <v>172.38022919977402</v>
      </c>
      <c r="U50" s="9">
        <v>2610.1233466045628</v>
      </c>
      <c r="V50" s="9">
        <v>0.5</v>
      </c>
      <c r="W50" s="9">
        <v>2.6023973604996286E-3</v>
      </c>
      <c r="X50" s="9">
        <v>9.7659718351429097E-3</v>
      </c>
      <c r="Y50" s="9">
        <v>0.11109744415408296</v>
      </c>
      <c r="Z50" s="9">
        <v>0.54</v>
      </c>
      <c r="AA50" s="9">
        <v>3.2837945927254517E-3</v>
      </c>
      <c r="AB50" s="9">
        <v>1.1906026069570889E-2</v>
      </c>
      <c r="AC50" s="10">
        <v>0.13387812348739336</v>
      </c>
    </row>
    <row r="51" spans="2:29" x14ac:dyDescent="0.2">
      <c r="B51" s="8">
        <v>39</v>
      </c>
      <c r="C51" s="9">
        <v>4.0000000000000001E-3</v>
      </c>
      <c r="D51" s="9">
        <v>5.0000000000000001E-3</v>
      </c>
      <c r="E51" s="9">
        <v>52.047947209992572</v>
      </c>
      <c r="F51" s="9">
        <v>3.0035264700422579</v>
      </c>
      <c r="G51" s="9">
        <v>1.134645249177838</v>
      </c>
      <c r="H51" s="9">
        <v>1.8688812208644199</v>
      </c>
      <c r="I51" s="9">
        <v>2610.1233466045628</v>
      </c>
      <c r="J51" s="9">
        <v>49.990000000000016</v>
      </c>
      <c r="K51" s="9">
        <v>54.304121625651341</v>
      </c>
      <c r="L51" s="9">
        <v>89.444655230571158</v>
      </c>
      <c r="M51" s="9">
        <v>20.071626395651265</v>
      </c>
      <c r="N51" s="9">
        <v>29.566582272820224</v>
      </c>
      <c r="O51" s="9">
        <v>2.8088253159179213</v>
      </c>
      <c r="P51" s="9">
        <v>0.32764080650374749</v>
      </c>
      <c r="Q51" s="9">
        <v>0.44231508878005915</v>
      </c>
      <c r="R51" s="9">
        <v>0.50558855686522586</v>
      </c>
      <c r="S51" s="9">
        <v>1.6382040325187377</v>
      </c>
      <c r="T51" s="9">
        <v>163.71548008312391</v>
      </c>
      <c r="U51" s="9">
        <v>2471.0404827055199</v>
      </c>
      <c r="V51" s="9">
        <v>0.4</v>
      </c>
      <c r="W51" s="9">
        <v>2.0071626395651264E-3</v>
      </c>
      <c r="X51" s="9">
        <v>7.9753814720844429E-3</v>
      </c>
      <c r="Y51" s="9">
        <v>9.1616160781440525E-2</v>
      </c>
      <c r="Z51" s="9">
        <v>0.5</v>
      </c>
      <c r="AA51" s="9">
        <v>2.9566582272820222E-3</v>
      </c>
      <c r="AB51" s="9">
        <v>1.132765710527917E-2</v>
      </c>
      <c r="AC51" s="10">
        <v>0.1277748109362199</v>
      </c>
    </row>
    <row r="52" spans="2:29" x14ac:dyDescent="0.2">
      <c r="B52" s="8">
        <v>40</v>
      </c>
      <c r="C52" s="9">
        <v>8.9999999999999993E-3</v>
      </c>
      <c r="D52" s="9">
        <v>4.5999999999999999E-3</v>
      </c>
      <c r="E52" s="9">
        <v>50.179065989128148</v>
      </c>
      <c r="F52" s="9">
        <v>3.0035264700422579</v>
      </c>
      <c r="G52" s="9">
        <v>1.0939036385629937</v>
      </c>
      <c r="H52" s="9">
        <v>1.9096228314792643</v>
      </c>
      <c r="I52" s="9">
        <v>2471.0404827055199</v>
      </c>
      <c r="J52" s="9">
        <v>49.090000000000018</v>
      </c>
      <c r="K52" s="9">
        <v>51.555678485473912</v>
      </c>
      <c r="L52" s="9">
        <v>90.000524047617759</v>
      </c>
      <c r="M52" s="9">
        <v>43.442498841883996</v>
      </c>
      <c r="N52" s="9">
        <v>26.412620888838852</v>
      </c>
      <c r="O52" s="9">
        <v>2.5091989844396911</v>
      </c>
      <c r="P52" s="9">
        <v>0.36999740274995135</v>
      </c>
      <c r="Q52" s="9">
        <v>0.49949649371243432</v>
      </c>
      <c r="R52" s="9">
        <v>0.45165581719914438</v>
      </c>
      <c r="S52" s="9">
        <v>1.8499870137497567</v>
      </c>
      <c r="T52" s="9">
        <v>184.33676363200405</v>
      </c>
      <c r="U52" s="9">
        <v>2311.1848389271795</v>
      </c>
      <c r="V52" s="9">
        <v>0.89999999999999991</v>
      </c>
      <c r="W52" s="9">
        <v>4.3442498841883993E-3</v>
      </c>
      <c r="X52" s="9">
        <v>1.8273903955929319E-2</v>
      </c>
      <c r="Y52" s="9">
        <v>0.19853598867752142</v>
      </c>
      <c r="Z52" s="9">
        <v>0.45999999999999996</v>
      </c>
      <c r="AA52" s="9">
        <v>2.6412620888838852E-3</v>
      </c>
      <c r="AB52" s="9">
        <v>1.0688866116802713E-2</v>
      </c>
      <c r="AC52" s="10">
        <v>0.12098808740141265</v>
      </c>
    </row>
    <row r="53" spans="2:29" x14ac:dyDescent="0.2">
      <c r="B53" s="8">
        <v>41</v>
      </c>
      <c r="C53" s="9">
        <v>4.0000000000000001E-3</v>
      </c>
      <c r="D53" s="9">
        <v>4.1999999999999997E-3</v>
      </c>
      <c r="E53" s="9">
        <v>48.269443157648887</v>
      </c>
      <c r="F53" s="9">
        <v>3.0035264700422579</v>
      </c>
      <c r="G53" s="9">
        <v>1.0522738608367457</v>
      </c>
      <c r="H53" s="9">
        <v>1.9512526092055122</v>
      </c>
      <c r="I53" s="9">
        <v>2311.1848389271795</v>
      </c>
      <c r="J53" s="9">
        <v>47.730000000000018</v>
      </c>
      <c r="K53" s="9">
        <v>48.330938428231754</v>
      </c>
      <c r="L53" s="9">
        <v>89.621032340809222</v>
      </c>
      <c r="M53" s="9">
        <v>18.527276219377352</v>
      </c>
      <c r="N53" s="9">
        <v>23.380116122083393</v>
      </c>
      <c r="O53" s="9">
        <v>2.2211110315979226</v>
      </c>
      <c r="P53" s="9">
        <v>0.31295849397683662</v>
      </c>
      <c r="Q53" s="9">
        <v>0.42249396686872948</v>
      </c>
      <c r="R53" s="9">
        <v>0.39979998568762604</v>
      </c>
      <c r="S53" s="9">
        <v>1.5647924698841831</v>
      </c>
      <c r="T53" s="9">
        <v>156.00031310359884</v>
      </c>
      <c r="U53" s="9">
        <v>2179.6564142449097</v>
      </c>
      <c r="V53" s="9">
        <v>0.4</v>
      </c>
      <c r="W53" s="9">
        <v>1.8527276219377352E-3</v>
      </c>
      <c r="X53" s="9">
        <v>8.3529511311817538E-3</v>
      </c>
      <c r="Y53" s="9">
        <v>9.5756313527353587E-2</v>
      </c>
      <c r="Z53" s="9">
        <v>0.42</v>
      </c>
      <c r="AA53" s="9">
        <v>2.3380116122083392E-3</v>
      </c>
      <c r="AB53" s="9">
        <v>1.0116073681469858E-2</v>
      </c>
      <c r="AC53" s="10">
        <v>0.11486142688731527</v>
      </c>
    </row>
    <row r="54" spans="2:29" x14ac:dyDescent="0.2">
      <c r="B54" s="8">
        <v>42</v>
      </c>
      <c r="C54" s="9">
        <v>8.0000000000000002E-3</v>
      </c>
      <c r="D54" s="9">
        <v>3.8999999999999998E-3</v>
      </c>
      <c r="E54" s="9">
        <v>46.318190548443368</v>
      </c>
      <c r="F54" s="9">
        <v>3.0035264700422579</v>
      </c>
      <c r="G54" s="9">
        <v>1.0097365539560654</v>
      </c>
      <c r="H54" s="9">
        <v>1.9937899160861925</v>
      </c>
      <c r="I54" s="9">
        <v>2179.6564142449097</v>
      </c>
      <c r="J54" s="9">
        <v>46.910000000000018</v>
      </c>
      <c r="K54" s="9">
        <v>45.700676432051544</v>
      </c>
      <c r="L54" s="9">
        <v>90.238931602061115</v>
      </c>
      <c r="M54" s="9">
        <v>35.459520505885742</v>
      </c>
      <c r="N54" s="9">
        <v>21.012012854975122</v>
      </c>
      <c r="O54" s="9">
        <v>1.9961412212226366</v>
      </c>
      <c r="P54" s="9">
        <v>0.34279825707999678</v>
      </c>
      <c r="Q54" s="9">
        <v>0.46277764705799573</v>
      </c>
      <c r="R54" s="9">
        <v>0.35930541982007458</v>
      </c>
      <c r="S54" s="9">
        <v>1.7139912853999841</v>
      </c>
      <c r="T54" s="9">
        <v>170.516397151863</v>
      </c>
      <c r="U54" s="9">
        <v>2032.9459492819874</v>
      </c>
      <c r="V54" s="9">
        <v>0.8</v>
      </c>
      <c r="W54" s="9">
        <v>3.5459520505885743E-3</v>
      </c>
      <c r="X54" s="9">
        <v>1.6997770562256955E-2</v>
      </c>
      <c r="Y54" s="9">
        <v>0.18594446470353043</v>
      </c>
      <c r="Z54" s="9">
        <v>0.38999999999999996</v>
      </c>
      <c r="AA54" s="9">
        <v>2.1012012854975124E-3</v>
      </c>
      <c r="AB54" s="9">
        <v>9.640057358422811E-3</v>
      </c>
      <c r="AC54" s="10">
        <v>0.10974014065026683</v>
      </c>
    </row>
    <row r="55" spans="2:29" x14ac:dyDescent="0.2">
      <c r="B55" s="8">
        <v>43</v>
      </c>
      <c r="C55" s="9">
        <v>7.0000000000000001E-3</v>
      </c>
      <c r="D55" s="9">
        <v>3.5999999999999999E-3</v>
      </c>
      <c r="E55" s="9">
        <v>44.324400632357168</v>
      </c>
      <c r="F55" s="9">
        <v>3.0035264700422579</v>
      </c>
      <c r="G55" s="9">
        <v>0.96627193378538623</v>
      </c>
      <c r="H55" s="9">
        <v>2.0372545362568717</v>
      </c>
      <c r="I55" s="9">
        <v>2032.9459492819874</v>
      </c>
      <c r="J55" s="9">
        <v>45.72000000000002</v>
      </c>
      <c r="K55" s="9">
        <v>42.718882192651947</v>
      </c>
      <c r="L55" s="9">
        <v>90.067023047916337</v>
      </c>
      <c r="M55" s="9">
        <v>29.601002267270207</v>
      </c>
      <c r="N55" s="9">
        <v>18.737260995597325</v>
      </c>
      <c r="O55" s="9">
        <v>1.7800397945817459</v>
      </c>
      <c r="P55" s="9">
        <v>0.32477381501567704</v>
      </c>
      <c r="Q55" s="9">
        <v>0.43844465027116403</v>
      </c>
      <c r="R55" s="9">
        <v>0.32040716302471423</v>
      </c>
      <c r="S55" s="9">
        <v>1.6238690750783853</v>
      </c>
      <c r="T55" s="9">
        <v>161.45945259903033</v>
      </c>
      <c r="U55" s="9">
        <v>1894.5406629712036</v>
      </c>
      <c r="V55" s="9">
        <v>0.70000000000000007</v>
      </c>
      <c r="W55" s="9">
        <v>2.9601002267270206E-3</v>
      </c>
      <c r="X55" s="9">
        <v>1.5259800749998869E-2</v>
      </c>
      <c r="Y55" s="9">
        <v>0.16850430394168436</v>
      </c>
      <c r="Z55" s="9">
        <v>0.36</v>
      </c>
      <c r="AA55" s="9">
        <v>1.8737260995597325E-3</v>
      </c>
      <c r="AB55" s="9">
        <v>9.2168023464741424E-3</v>
      </c>
      <c r="AC55" s="10">
        <v>0.10516369644334667</v>
      </c>
    </row>
    <row r="56" spans="2:29" x14ac:dyDescent="0.2">
      <c r="B56" s="8">
        <v>44</v>
      </c>
      <c r="C56" s="9">
        <v>5.0000000000000001E-3</v>
      </c>
      <c r="D56" s="9">
        <v>3.3E-3</v>
      </c>
      <c r="E56" s="9">
        <v>42.287146096100301</v>
      </c>
      <c r="F56" s="9">
        <v>3.0035264700422579</v>
      </c>
      <c r="G56" s="9">
        <v>0.92185978489498654</v>
      </c>
      <c r="H56" s="9">
        <v>2.0816666851472716</v>
      </c>
      <c r="I56" s="9">
        <v>1894.5406629712036</v>
      </c>
      <c r="J56" s="9">
        <v>44.660000000000018</v>
      </c>
      <c r="K56" s="9">
        <v>39.898091490255034</v>
      </c>
      <c r="L56" s="9">
        <v>90.094534133173951</v>
      </c>
      <c r="M56" s="9">
        <v>20.102739705476516</v>
      </c>
      <c r="N56" s="9">
        <v>16.559091776412288</v>
      </c>
      <c r="O56" s="9">
        <v>1.5731137187591673</v>
      </c>
      <c r="P56" s="9">
        <v>0.30019073065781099</v>
      </c>
      <c r="Q56" s="9">
        <v>0.40525748638804487</v>
      </c>
      <c r="R56" s="9">
        <v>0.28316046937665013</v>
      </c>
      <c r="S56" s="9">
        <v>1.5009536532890551</v>
      </c>
      <c r="T56" s="9">
        <v>149.17891670795311</v>
      </c>
      <c r="U56" s="9">
        <v>1767.7842973561408</v>
      </c>
      <c r="V56" s="9">
        <v>0.5</v>
      </c>
      <c r="W56" s="9">
        <v>2.0102739705476517E-3</v>
      </c>
      <c r="X56" s="9">
        <v>1.1158434834780431E-2</v>
      </c>
      <c r="Y56" s="9">
        <v>0.12598163095161174</v>
      </c>
      <c r="Z56" s="9">
        <v>0.33</v>
      </c>
      <c r="AA56" s="9">
        <v>1.6559091776412289E-3</v>
      </c>
      <c r="AB56" s="9">
        <v>8.7404256345929802E-3</v>
      </c>
      <c r="AC56" s="10">
        <v>9.9987085565727329E-2</v>
      </c>
    </row>
    <row r="57" spans="2:29" x14ac:dyDescent="0.2">
      <c r="B57" s="8">
        <v>45</v>
      </c>
      <c r="C57" s="9">
        <v>6.0000000000000001E-3</v>
      </c>
      <c r="D57" s="9">
        <v>3.0000000000000001E-3</v>
      </c>
      <c r="E57" s="9">
        <v>40.205479410953018</v>
      </c>
      <c r="F57" s="9">
        <v>3.0035264700422579</v>
      </c>
      <c r="G57" s="9">
        <v>0.87647945115877579</v>
      </c>
      <c r="H57" s="9">
        <v>2.127047018883482</v>
      </c>
      <c r="I57" s="9">
        <v>1767.7842973561408</v>
      </c>
      <c r="J57" s="9">
        <v>43.83000000000002</v>
      </c>
      <c r="K57" s="9">
        <v>37.311730235829103</v>
      </c>
      <c r="L57" s="9">
        <v>90.54839159386988</v>
      </c>
      <c r="M57" s="9">
        <v>22.847059435241722</v>
      </c>
      <c r="N57" s="9">
        <v>14.480832947294665</v>
      </c>
      <c r="O57" s="9">
        <v>1.3756791299929931</v>
      </c>
      <c r="P57" s="9">
        <v>0.30141436252988146</v>
      </c>
      <c r="Q57" s="9">
        <v>0.40690938941533994</v>
      </c>
      <c r="R57" s="9">
        <v>0.24762224339873876</v>
      </c>
      <c r="S57" s="9">
        <v>1.5070718126494071</v>
      </c>
      <c r="T57" s="9">
        <v>149.61984258694034</v>
      </c>
      <c r="U57" s="9">
        <v>1639.9080133797345</v>
      </c>
      <c r="V57" s="9">
        <v>0.6</v>
      </c>
      <c r="W57" s="9">
        <v>2.2847059435241721E-3</v>
      </c>
      <c r="X57" s="9">
        <v>1.3643653483170164E-2</v>
      </c>
      <c r="Y57" s="9">
        <v>0.15197995170105894</v>
      </c>
      <c r="Z57" s="9">
        <v>0.3</v>
      </c>
      <c r="AA57" s="9">
        <v>1.4480832947294665E-3</v>
      </c>
      <c r="AB57" s="9">
        <v>8.1915157686103905E-3</v>
      </c>
      <c r="AC57" s="10">
        <v>9.3988252816402773E-2</v>
      </c>
    </row>
    <row r="58" spans="2:29" x14ac:dyDescent="0.2">
      <c r="B58" s="8">
        <v>46</v>
      </c>
      <c r="C58" s="9">
        <v>0.01</v>
      </c>
      <c r="D58" s="9">
        <v>2.7000000000000001E-3</v>
      </c>
      <c r="E58" s="9">
        <v>38.078432392069537</v>
      </c>
      <c r="F58" s="9">
        <v>3.0035264700422579</v>
      </c>
      <c r="G58" s="9">
        <v>0.83010982614711593</v>
      </c>
      <c r="H58" s="9">
        <v>2.1734166438951421</v>
      </c>
      <c r="I58" s="9">
        <v>1639.9080133797345</v>
      </c>
      <c r="J58" s="9">
        <v>42.930000000000021</v>
      </c>
      <c r="K58" s="9">
        <v>34.681988536426523</v>
      </c>
      <c r="L58" s="9">
        <v>90.805347381939086</v>
      </c>
      <c r="M58" s="9">
        <v>35.905015748174392</v>
      </c>
      <c r="N58" s="9">
        <v>12.50591144807971</v>
      </c>
      <c r="O58" s="9">
        <v>1.1880615875675724</v>
      </c>
      <c r="P58" s="9">
        <v>0.32278470333307996</v>
      </c>
      <c r="Q58" s="9">
        <v>0.43575934949965794</v>
      </c>
      <c r="R58" s="9">
        <v>0.21385108576216302</v>
      </c>
      <c r="S58" s="9">
        <v>1.6139235166653998</v>
      </c>
      <c r="T58" s="9">
        <v>159.99409459884725</v>
      </c>
      <c r="U58" s="9">
        <v>1500.6917388015411</v>
      </c>
      <c r="V58" s="9">
        <v>1</v>
      </c>
      <c r="W58" s="9">
        <v>3.5905015748174392E-3</v>
      </c>
      <c r="X58" s="9">
        <v>2.3215401915964603E-2</v>
      </c>
      <c r="Y58" s="9">
        <v>0.24562786761226596</v>
      </c>
      <c r="Z58" s="9">
        <v>0.27</v>
      </c>
      <c r="AA58" s="9">
        <v>1.2505911448079709E-3</v>
      </c>
      <c r="AB58" s="9">
        <v>7.6259834978828541E-3</v>
      </c>
      <c r="AC58" s="10">
        <v>8.7769445531524104E-2</v>
      </c>
    </row>
    <row r="59" spans="2:29" x14ac:dyDescent="0.2">
      <c r="B59" s="8">
        <v>47</v>
      </c>
      <c r="C59" s="9">
        <v>0.01</v>
      </c>
      <c r="D59" s="9">
        <v>2.5000000000000001E-3</v>
      </c>
      <c r="E59" s="9">
        <v>35.905015748174392</v>
      </c>
      <c r="F59" s="9">
        <v>3.0035264700422579</v>
      </c>
      <c r="G59" s="9">
        <v>0.78272934331020172</v>
      </c>
      <c r="H59" s="9">
        <v>2.2207971267320561</v>
      </c>
      <c r="I59" s="9">
        <v>1500.6917388015411</v>
      </c>
      <c r="J59" s="9">
        <v>41.660000000000018</v>
      </c>
      <c r="K59" s="9">
        <v>31.786638631827309</v>
      </c>
      <c r="L59" s="9">
        <v>90.186571316588839</v>
      </c>
      <c r="M59" s="9">
        <v>33.684218621442334</v>
      </c>
      <c r="N59" s="9">
        <v>11.081100158089292</v>
      </c>
      <c r="O59" s="9">
        <v>1.0527045150184828</v>
      </c>
      <c r="P59" s="9">
        <v>0.31131485713971702</v>
      </c>
      <c r="Q59" s="9">
        <v>0.42027505713861796</v>
      </c>
      <c r="R59" s="9">
        <v>0.1894868127033269</v>
      </c>
      <c r="S59" s="9">
        <v>1.5565742856985849</v>
      </c>
      <c r="T59" s="9">
        <v>154.23248207219675</v>
      </c>
      <c r="U59" s="9">
        <v>1365.7398487054204</v>
      </c>
      <c r="V59" s="9">
        <v>1</v>
      </c>
      <c r="W59" s="9">
        <v>3.3684218621442335E-3</v>
      </c>
      <c r="X59" s="9">
        <v>2.3920506014296569E-2</v>
      </c>
      <c r="Y59" s="9">
        <v>0.25213662060663622</v>
      </c>
      <c r="Z59" s="9">
        <v>0.25</v>
      </c>
      <c r="AA59" s="9">
        <v>1.1081100158089293E-3</v>
      </c>
      <c r="AB59" s="9">
        <v>7.3839949082006055E-3</v>
      </c>
      <c r="AC59" s="10">
        <v>8.509651354683434E-2</v>
      </c>
    </row>
    <row r="60" spans="2:29" x14ac:dyDescent="0.2">
      <c r="B60" s="8">
        <v>48</v>
      </c>
      <c r="C60" s="9">
        <v>5.0000000000000001E-3</v>
      </c>
      <c r="D60" s="9">
        <v>2.3E-3</v>
      </c>
      <c r="E60" s="9">
        <v>33.684218621442326</v>
      </c>
      <c r="F60" s="9">
        <v>3.0035264700422579</v>
      </c>
      <c r="G60" s="9">
        <v>0.73431596594744275</v>
      </c>
      <c r="H60" s="9">
        <v>2.269210504094815</v>
      </c>
      <c r="I60" s="9">
        <v>1365.7398487054204</v>
      </c>
      <c r="J60" s="9">
        <v>40.410000000000018</v>
      </c>
      <c r="K60" s="9">
        <v>28.976108016286101</v>
      </c>
      <c r="L60" s="9">
        <v>89.543046491581435</v>
      </c>
      <c r="M60" s="9">
        <v>15.707504058673756</v>
      </c>
      <c r="N60" s="9">
        <v>9.7260436021030685</v>
      </c>
      <c r="O60" s="9">
        <v>0.92397414219979157</v>
      </c>
      <c r="P60" s="9">
        <v>0.26845331713308257</v>
      </c>
      <c r="Q60" s="9">
        <v>0.36241197812966153</v>
      </c>
      <c r="R60" s="9">
        <v>0.16631534559596248</v>
      </c>
      <c r="S60" s="9">
        <v>1.342266585665413</v>
      </c>
      <c r="T60" s="9">
        <v>133.01118548221694</v>
      </c>
      <c r="U60" s="9">
        <v>1250.7632545530621</v>
      </c>
      <c r="V60" s="9">
        <v>0.5</v>
      </c>
      <c r="W60" s="9">
        <v>1.5707504058673756E-3</v>
      </c>
      <c r="X60" s="9">
        <v>1.2328883775855833E-2</v>
      </c>
      <c r="Y60" s="9">
        <v>0.13831558185781712</v>
      </c>
      <c r="Z60" s="9">
        <v>0.22999999999999998</v>
      </c>
      <c r="AA60" s="9">
        <v>9.7260436021030685E-4</v>
      </c>
      <c r="AB60" s="9">
        <v>7.1214467464812926E-3</v>
      </c>
      <c r="AC60" s="10">
        <v>8.2188368074183948E-2</v>
      </c>
    </row>
    <row r="61" spans="2:29" x14ac:dyDescent="0.2">
      <c r="B61" s="8">
        <v>49</v>
      </c>
      <c r="C61" s="9">
        <v>8.9999999999999993E-3</v>
      </c>
      <c r="D61" s="9">
        <v>2.0999999999999999E-3</v>
      </c>
      <c r="E61" s="9">
        <v>31.415008117347508</v>
      </c>
      <c r="F61" s="9">
        <v>3.0035264700422579</v>
      </c>
      <c r="G61" s="9">
        <v>0.68484717695817565</v>
      </c>
      <c r="H61" s="9">
        <v>2.3186792930840823</v>
      </c>
      <c r="I61" s="9">
        <v>1250.7632545530621</v>
      </c>
      <c r="J61" s="9">
        <v>39.680000000000021</v>
      </c>
      <c r="K61" s="9">
        <v>26.585767409516393</v>
      </c>
      <c r="L61" s="9">
        <v>90.011130157524121</v>
      </c>
      <c r="M61" s="9">
        <v>26.186695941837083</v>
      </c>
      <c r="N61" s="9">
        <v>8.4431506763001334</v>
      </c>
      <c r="O61" s="9">
        <v>0.80209931424851266</v>
      </c>
      <c r="P61" s="9">
        <v>0.28556718701775519</v>
      </c>
      <c r="Q61" s="9">
        <v>0.38551570247396955</v>
      </c>
      <c r="R61" s="9">
        <v>0.14437787656473228</v>
      </c>
      <c r="S61" s="9">
        <v>1.4278359350887759</v>
      </c>
      <c r="T61" s="9">
        <v>141.34239612198087</v>
      </c>
      <c r="U61" s="9">
        <v>1126.1222777774008</v>
      </c>
      <c r="V61" s="9">
        <v>0.89999999999999991</v>
      </c>
      <c r="W61" s="9">
        <v>2.6186695941837084E-3</v>
      </c>
      <c r="X61" s="9">
        <v>2.2598933151963166E-2</v>
      </c>
      <c r="Y61" s="9">
        <v>0.23989479797510782</v>
      </c>
      <c r="Z61" s="9">
        <v>0.21</v>
      </c>
      <c r="AA61" s="9">
        <v>8.4431506763001335E-4</v>
      </c>
      <c r="AB61" s="9">
        <v>6.7503987229918603E-3</v>
      </c>
      <c r="AC61" s="10">
        <v>7.8063959887051171E-2</v>
      </c>
    </row>
    <row r="62" spans="2:29" x14ac:dyDescent="0.2">
      <c r="B62" s="8">
        <v>50</v>
      </c>
      <c r="C62" s="9">
        <v>4.0000000000000001E-3</v>
      </c>
      <c r="D62" s="9">
        <v>1.9E-3</v>
      </c>
      <c r="E62" s="9">
        <v>29.096328824263416</v>
      </c>
      <c r="F62" s="9">
        <v>3.0035264700422579</v>
      </c>
      <c r="G62" s="9">
        <v>0.63429996836894242</v>
      </c>
      <c r="H62" s="9">
        <v>2.3692265016733156</v>
      </c>
      <c r="I62" s="9">
        <v>1126.1222777774008</v>
      </c>
      <c r="J62" s="9">
        <v>38.570000000000022</v>
      </c>
      <c r="K62" s="9">
        <v>23.970195804662346</v>
      </c>
      <c r="L62" s="9">
        <v>89.533069498234639</v>
      </c>
      <c r="M62" s="9">
        <v>10.690840929036041</v>
      </c>
      <c r="N62" s="9">
        <v>7.2349021544932119</v>
      </c>
      <c r="O62" s="9">
        <v>0.6873157046768551</v>
      </c>
      <c r="P62" s="9">
        <v>0.24838821246386605</v>
      </c>
      <c r="Q62" s="9">
        <v>0.33532408682621917</v>
      </c>
      <c r="R62" s="9">
        <v>0.12371682684183391</v>
      </c>
      <c r="S62" s="9">
        <v>1.2419410623193303</v>
      </c>
      <c r="T62" s="9">
        <v>122.93205174815863</v>
      </c>
      <c r="U62" s="9">
        <v>1018.6634651956367</v>
      </c>
      <c r="V62" s="9">
        <v>0.4</v>
      </c>
      <c r="W62" s="9">
        <v>1.0690840929036042E-3</v>
      </c>
      <c r="X62" s="9">
        <v>1.03318982650974E-2</v>
      </c>
      <c r="Y62" s="9">
        <v>0.11717449503250443</v>
      </c>
      <c r="Z62" s="9">
        <v>0.19</v>
      </c>
      <c r="AA62" s="9">
        <v>7.2349021544932117E-4</v>
      </c>
      <c r="AB62" s="9">
        <v>6.4246150682433492E-3</v>
      </c>
      <c r="AC62" s="10">
        <v>7.4428690978075918E-2</v>
      </c>
    </row>
    <row r="63" spans="2:29" x14ac:dyDescent="0.2">
      <c r="B63" s="8">
        <v>51</v>
      </c>
      <c r="C63" s="9">
        <v>7.0000000000000001E-3</v>
      </c>
      <c r="D63" s="9">
        <v>1.6999999999999999E-3</v>
      </c>
      <c r="E63" s="9">
        <v>26.727102322590095</v>
      </c>
      <c r="F63" s="9">
        <v>3.0035264700422579</v>
      </c>
      <c r="G63" s="9">
        <v>0.58265083063246403</v>
      </c>
      <c r="H63" s="9">
        <v>2.4208756394097941</v>
      </c>
      <c r="I63" s="9">
        <v>1018.6634651956367</v>
      </c>
      <c r="J63" s="9">
        <v>37.980000000000025</v>
      </c>
      <c r="K63" s="9">
        <v>21.721222965978271</v>
      </c>
      <c r="L63" s="9">
        <v>90.250243837197175</v>
      </c>
      <c r="M63" s="9">
        <v>17.014358678226213</v>
      </c>
      <c r="N63" s="9">
        <v>6.1038526771896464</v>
      </c>
      <c r="O63" s="9">
        <v>0.57986600433301638</v>
      </c>
      <c r="P63" s="9">
        <v>0.25797165096280333</v>
      </c>
      <c r="Q63" s="9">
        <v>0.34826172879978451</v>
      </c>
      <c r="R63" s="9">
        <v>0.10437588077994295</v>
      </c>
      <c r="S63" s="9">
        <v>1.2898582548140167</v>
      </c>
      <c r="T63" s="9">
        <v>127.5652239703781</v>
      </c>
      <c r="U63" s="9">
        <v>905.29501000302366</v>
      </c>
      <c r="V63" s="9">
        <v>0.70000000000000007</v>
      </c>
      <c r="W63" s="9">
        <v>1.7014358678226213E-3</v>
      </c>
      <c r="X63" s="9">
        <v>1.8359789610141338E-2</v>
      </c>
      <c r="Y63" s="9">
        <v>0.19937697049902425</v>
      </c>
      <c r="Z63" s="9">
        <v>0.16999999999999998</v>
      </c>
      <c r="AA63" s="9">
        <v>6.1038526771896469E-4</v>
      </c>
      <c r="AB63" s="9">
        <v>5.9920208054358628E-3</v>
      </c>
      <c r="AC63" s="10">
        <v>6.9581263612557898E-2</v>
      </c>
    </row>
    <row r="64" spans="2:29" x14ac:dyDescent="0.2">
      <c r="B64" s="8">
        <v>52</v>
      </c>
      <c r="C64" s="9">
        <v>4.0000000000000001E-3</v>
      </c>
      <c r="D64" s="9">
        <v>1.5E-3</v>
      </c>
      <c r="E64" s="9">
        <v>24.306226683180302</v>
      </c>
      <c r="F64" s="9">
        <v>3.0035264700422579</v>
      </c>
      <c r="G64" s="9">
        <v>0.52987574169333063</v>
      </c>
      <c r="H64" s="9">
        <v>2.4736507283489271</v>
      </c>
      <c r="I64" s="9">
        <v>905.29501000302366</v>
      </c>
      <c r="J64" s="9">
        <v>37.110000000000021</v>
      </c>
      <c r="K64" s="9">
        <v>19.329867056972709</v>
      </c>
      <c r="L64" s="9">
        <v>90.238778570168904</v>
      </c>
      <c r="M64" s="9">
        <v>8.7330303819325508</v>
      </c>
      <c r="N64" s="9">
        <v>5.0526327932163486</v>
      </c>
      <c r="O64" s="9">
        <v>0.48000011535555315</v>
      </c>
      <c r="P64" s="9">
        <v>0.23660335201814836</v>
      </c>
      <c r="Q64" s="9">
        <v>0.31941452522450026</v>
      </c>
      <c r="R64" s="9">
        <v>8.6400020763999566E-2</v>
      </c>
      <c r="S64" s="9">
        <v>1.1830167600907417</v>
      </c>
      <c r="T64" s="9">
        <v>116.95624146633233</v>
      </c>
      <c r="U64" s="9">
        <v>801.2705682577058</v>
      </c>
      <c r="V64" s="9">
        <v>0.4</v>
      </c>
      <c r="W64" s="9">
        <v>8.7330303819325506E-4</v>
      </c>
      <c r="X64" s="9">
        <v>1.0735161230988137E-2</v>
      </c>
      <c r="Y64" s="9">
        <v>0.12148156392499809</v>
      </c>
      <c r="Z64" s="9">
        <v>0.15</v>
      </c>
      <c r="AA64" s="9">
        <v>5.0526327932163488E-4</v>
      </c>
      <c r="AB64" s="9">
        <v>5.5812003130332874E-3</v>
      </c>
      <c r="AC64" s="10">
        <v>6.495628883305149E-2</v>
      </c>
    </row>
    <row r="65" spans="2:29" x14ac:dyDescent="0.2">
      <c r="B65" s="8">
        <v>53</v>
      </c>
      <c r="C65" s="9">
        <v>0.01</v>
      </c>
      <c r="D65" s="9">
        <v>1.4E-3</v>
      </c>
      <c r="E65" s="9">
        <v>21.83257595483137</v>
      </c>
      <c r="F65" s="9">
        <v>3.0035264700422579</v>
      </c>
      <c r="G65" s="9">
        <v>0.47595015581532385</v>
      </c>
      <c r="H65" s="9">
        <v>2.5275763142269341</v>
      </c>
      <c r="I65" s="9">
        <v>801.2705682577058</v>
      </c>
      <c r="J65" s="9">
        <v>36.560000000000024</v>
      </c>
      <c r="K65" s="9">
        <v>17.129446107793516</v>
      </c>
      <c r="L65" s="9">
        <v>90.967471549027422</v>
      </c>
      <c r="M65" s="9">
        <v>19.304999640604436</v>
      </c>
      <c r="N65" s="9">
        <v>4.3981011364286511</v>
      </c>
      <c r="O65" s="9">
        <v>0.41781960796072187</v>
      </c>
      <c r="P65" s="9">
        <v>0.25480383459485073</v>
      </c>
      <c r="Q65" s="9">
        <v>0.34398517670304851</v>
      </c>
      <c r="R65" s="9">
        <v>7.5207529432929937E-2</v>
      </c>
      <c r="S65" s="9">
        <v>1.2740191729742538</v>
      </c>
      <c r="T65" s="9">
        <v>125.87172119168102</v>
      </c>
      <c r="U65" s="9">
        <v>686.59999593164525</v>
      </c>
      <c r="V65" s="9">
        <v>1</v>
      </c>
      <c r="W65" s="9">
        <v>1.9304999640604435E-3</v>
      </c>
      <c r="X65" s="9">
        <v>2.7233776589137986E-2</v>
      </c>
      <c r="Y65" s="9">
        <v>0.28203745173160721</v>
      </c>
      <c r="Z65" s="9">
        <v>0.13999999999999999</v>
      </c>
      <c r="AA65" s="9">
        <v>4.3981011364286509E-4</v>
      </c>
      <c r="AB65" s="9">
        <v>5.4889088787972648E-3</v>
      </c>
      <c r="AC65" s="10">
        <v>6.3914386700230197E-2</v>
      </c>
    </row>
    <row r="66" spans="2:29" x14ac:dyDescent="0.2">
      <c r="B66" s="8">
        <v>54</v>
      </c>
      <c r="C66" s="9">
        <v>0.01</v>
      </c>
      <c r="D66" s="9">
        <v>1.2999999999999999E-3</v>
      </c>
      <c r="E66" s="9">
        <v>19.304999640604432</v>
      </c>
      <c r="F66" s="9">
        <v>3.0035264700422579</v>
      </c>
      <c r="G66" s="9">
        <v>0.42084899216517663</v>
      </c>
      <c r="H66" s="9">
        <v>2.5826774778770814</v>
      </c>
      <c r="I66" s="9">
        <v>686.59999593164525</v>
      </c>
      <c r="J66" s="9">
        <v>35.420000000000023</v>
      </c>
      <c r="K66" s="9">
        <v>14.691838316486326</v>
      </c>
      <c r="L66" s="9">
        <v>90.161270752688978</v>
      </c>
      <c r="M66" s="9">
        <v>16.722322162727352</v>
      </c>
      <c r="N66" s="9">
        <v>3.7825227471542444</v>
      </c>
      <c r="O66" s="9">
        <v>0.3593396609796532</v>
      </c>
      <c r="P66" s="9">
        <v>0.24315086246380532</v>
      </c>
      <c r="Q66" s="9">
        <v>0.32825366432613717</v>
      </c>
      <c r="R66" s="9">
        <v>6.4681138976337579E-2</v>
      </c>
      <c r="S66" s="9">
        <v>1.2157543123190266</v>
      </c>
      <c r="T66" s="9">
        <v>120.082930914797</v>
      </c>
      <c r="U66" s="9">
        <v>575.93388026907473</v>
      </c>
      <c r="V66" s="9">
        <v>1</v>
      </c>
      <c r="W66" s="9">
        <v>1.6722322162727352E-3</v>
      </c>
      <c r="X66" s="9">
        <v>2.8099002449405133E-2</v>
      </c>
      <c r="Y66" s="9">
        <v>0.28966316714450968</v>
      </c>
      <c r="Z66" s="9">
        <v>0.13</v>
      </c>
      <c r="AA66" s="9">
        <v>3.7825227471542444E-4</v>
      </c>
      <c r="AB66" s="9">
        <v>5.5090631656962829E-3</v>
      </c>
      <c r="AC66" s="10">
        <v>6.414200449751184E-2</v>
      </c>
    </row>
    <row r="67" spans="2:29" x14ac:dyDescent="0.2">
      <c r="B67" s="8">
        <v>55</v>
      </c>
      <c r="C67" s="9">
        <v>5.0000000000000001E-3</v>
      </c>
      <c r="D67" s="9">
        <v>1.1000000000000001E-3</v>
      </c>
      <c r="E67" s="9">
        <v>16.722322162727341</v>
      </c>
      <c r="F67" s="9">
        <v>3.0035264700422579</v>
      </c>
      <c r="G67" s="9">
        <v>0.36454662314745606</v>
      </c>
      <c r="H67" s="9">
        <v>2.6389798468948018</v>
      </c>
      <c r="I67" s="9">
        <v>575.93388026907473</v>
      </c>
      <c r="J67" s="9">
        <v>34.29000000000002</v>
      </c>
      <c r="K67" s="9">
        <v>12.332612261078445</v>
      </c>
      <c r="L67" s="9">
        <v>89.276688220451192</v>
      </c>
      <c r="M67" s="9">
        <v>7.0416711579162694</v>
      </c>
      <c r="N67" s="9">
        <v>2.9399812554849105</v>
      </c>
      <c r="O67" s="9">
        <v>0.27929821927106652</v>
      </c>
      <c r="P67" s="9">
        <v>0.2173019432788918</v>
      </c>
      <c r="Q67" s="9">
        <v>0.29335762342650396</v>
      </c>
      <c r="R67" s="9">
        <v>5.0273679468791972E-2</v>
      </c>
      <c r="S67" s="9">
        <v>1.086509716394459</v>
      </c>
      <c r="T67" s="9">
        <v>107.28282689614832</v>
      </c>
      <c r="U67" s="9">
        <v>476.67553963522238</v>
      </c>
      <c r="V67" s="9">
        <v>0.5</v>
      </c>
      <c r="W67" s="9">
        <v>7.0416711579162695E-4</v>
      </c>
      <c r="X67" s="9">
        <v>1.4505652295558827E-2</v>
      </c>
      <c r="Y67" s="9">
        <v>0.16083057358562036</v>
      </c>
      <c r="Z67" s="9">
        <v>0.11</v>
      </c>
      <c r="AA67" s="9">
        <v>2.9399812554849105E-4</v>
      </c>
      <c r="AB67" s="9">
        <v>5.1047201010493764E-3</v>
      </c>
      <c r="AC67" s="10">
        <v>5.9565733103319585E-2</v>
      </c>
    </row>
    <row r="68" spans="2:29" x14ac:dyDescent="0.2">
      <c r="B68" s="8">
        <v>56</v>
      </c>
      <c r="C68" s="9">
        <v>8.9999999999999993E-3</v>
      </c>
      <c r="D68" s="9">
        <v>1E-3</v>
      </c>
      <c r="E68" s="9">
        <v>14.083342315832537</v>
      </c>
      <c r="F68" s="9">
        <v>3.0035264700422579</v>
      </c>
      <c r="G68" s="9">
        <v>0.30701686248514931</v>
      </c>
      <c r="H68" s="9">
        <v>2.6965096075571084</v>
      </c>
      <c r="I68" s="9">
        <v>476.67553963522238</v>
      </c>
      <c r="J68" s="9">
        <v>33.680000000000021</v>
      </c>
      <c r="K68" s="9">
        <v>10.211380846256072</v>
      </c>
      <c r="L68" s="9">
        <v>89.685909547349482</v>
      </c>
      <c r="M68" s="9">
        <v>10.248149437447884</v>
      </c>
      <c r="N68" s="9">
        <v>2.4306226683180303</v>
      </c>
      <c r="O68" s="9">
        <v>0.23090915349021288</v>
      </c>
      <c r="P68" s="9">
        <v>0.22029087966210689</v>
      </c>
      <c r="Q68" s="9">
        <v>0.29739268754384429</v>
      </c>
      <c r="R68" s="9">
        <v>4.1563647628238318E-2</v>
      </c>
      <c r="S68" s="9">
        <v>1.1014543983105345</v>
      </c>
      <c r="T68" s="9">
        <v>108.71564737139893</v>
      </c>
      <c r="U68" s="9">
        <v>374.310857982107</v>
      </c>
      <c r="V68" s="9">
        <v>0.89999999999999991</v>
      </c>
      <c r="W68" s="9">
        <v>1.0248149437447885E-3</v>
      </c>
      <c r="X68" s="9">
        <v>2.6559442711527145E-2</v>
      </c>
      <c r="Y68" s="9">
        <v>0.27604221933125717</v>
      </c>
      <c r="Z68" s="9">
        <v>0.1</v>
      </c>
      <c r="AA68" s="9">
        <v>2.4306226683180304E-4</v>
      </c>
      <c r="AB68" s="9">
        <v>5.0991134770164061E-3</v>
      </c>
      <c r="AC68" s="10">
        <v>5.9502134553047092E-2</v>
      </c>
    </row>
    <row r="69" spans="2:29" x14ac:dyDescent="0.2">
      <c r="B69" s="8">
        <v>57</v>
      </c>
      <c r="C69" s="9">
        <v>4.0000000000000001E-3</v>
      </c>
      <c r="D69" s="9">
        <v>8.9999999999999998E-4</v>
      </c>
      <c r="E69" s="9">
        <v>11.386832708275435</v>
      </c>
      <c r="F69" s="9">
        <v>3.0035264700422579</v>
      </c>
      <c r="G69" s="9">
        <v>0.24823295304040449</v>
      </c>
      <c r="H69" s="9">
        <v>2.7552935170018533</v>
      </c>
      <c r="I69" s="9">
        <v>374.310857982107</v>
      </c>
      <c r="J69" s="9">
        <v>32.680000000000021</v>
      </c>
      <c r="K69" s="9">
        <v>8.0328183603874947</v>
      </c>
      <c r="L69" s="9">
        <v>89.161298210180036</v>
      </c>
      <c r="M69" s="9">
        <v>3.4526156765094331</v>
      </c>
      <c r="N69" s="9">
        <v>1.9649318359348231</v>
      </c>
      <c r="O69" s="9">
        <v>0.18666852441380821</v>
      </c>
      <c r="P69" s="9">
        <v>0.20129346449415395</v>
      </c>
      <c r="Q69" s="9">
        <v>0.27174617706710785</v>
      </c>
      <c r="R69" s="9">
        <v>3.3600334394485475E-2</v>
      </c>
      <c r="S69" s="9">
        <v>1.0064673224707696</v>
      </c>
      <c r="T69" s="9">
        <v>99.320293473064254</v>
      </c>
      <c r="U69" s="9">
        <v>279.7320122594827</v>
      </c>
      <c r="V69" s="9">
        <v>0.4</v>
      </c>
      <c r="W69" s="9">
        <v>3.4526156765094331E-4</v>
      </c>
      <c r="X69" s="9">
        <v>1.2145641809454308E-2</v>
      </c>
      <c r="Y69" s="9">
        <v>0.13639521022093637</v>
      </c>
      <c r="Z69" s="9">
        <v>0.09</v>
      </c>
      <c r="AA69" s="9">
        <v>1.964931835934823E-4</v>
      </c>
      <c r="AB69" s="9">
        <v>5.2494652346653323E-3</v>
      </c>
      <c r="AC69" s="10">
        <v>6.1206280593813833E-2</v>
      </c>
    </row>
    <row r="70" spans="2:29" x14ac:dyDescent="0.2">
      <c r="B70" s="8">
        <v>58</v>
      </c>
      <c r="C70" s="9">
        <v>7.0000000000000001E-3</v>
      </c>
      <c r="D70" s="9">
        <v>8.0000000000000004E-4</v>
      </c>
      <c r="E70" s="9">
        <v>8.6315391912735713</v>
      </c>
      <c r="F70" s="9">
        <v>3.0035264700422579</v>
      </c>
      <c r="G70" s="9">
        <v>0.18816755436976385</v>
      </c>
      <c r="H70" s="9">
        <v>2.8153589156724941</v>
      </c>
      <c r="I70" s="9">
        <v>279.7320122594827</v>
      </c>
      <c r="J70" s="9">
        <v>32.190000000000019</v>
      </c>
      <c r="K70" s="9">
        <v>6.0138350376576559</v>
      </c>
      <c r="L70" s="9">
        <v>89.978870944892961</v>
      </c>
      <c r="M70" s="9">
        <v>4.071326192920754</v>
      </c>
      <c r="N70" s="9">
        <v>1.5443999712483547</v>
      </c>
      <c r="O70" s="9">
        <v>0.14671799726859369</v>
      </c>
      <c r="P70" s="9">
        <v>0.20012806435094274</v>
      </c>
      <c r="Q70" s="9">
        <v>0.27017288687377272</v>
      </c>
      <c r="R70" s="9">
        <v>2.6409239508346862E-2</v>
      </c>
      <c r="S70" s="9">
        <v>1.0006403217547137</v>
      </c>
      <c r="T70" s="9">
        <v>98.713399660252179</v>
      </c>
      <c r="U70" s="9">
        <v>184.13741515042062</v>
      </c>
      <c r="V70" s="9">
        <v>0.70000000000000007</v>
      </c>
      <c r="W70" s="9">
        <v>4.071326192920754E-4</v>
      </c>
      <c r="X70" s="9">
        <v>2.1529378316864248E-2</v>
      </c>
      <c r="Y70" s="9">
        <v>0.2298532494095602</v>
      </c>
      <c r="Z70" s="9">
        <v>0.08</v>
      </c>
      <c r="AA70" s="9">
        <v>1.5443999712483548E-4</v>
      </c>
      <c r="AB70" s="9">
        <v>5.5209983254106473E-3</v>
      </c>
      <c r="AC70" s="10">
        <v>6.4276773477167315E-2</v>
      </c>
    </row>
    <row r="71" spans="2:29" x14ac:dyDescent="0.2">
      <c r="B71" s="8">
        <v>59</v>
      </c>
      <c r="C71" s="9">
        <v>4.0000000000000001E-3</v>
      </c>
      <c r="D71" s="9">
        <v>8.0000000000000004E-4</v>
      </c>
      <c r="E71" s="9">
        <v>5.8161802756010719</v>
      </c>
      <c r="F71" s="9">
        <v>3.0035264700422579</v>
      </c>
      <c r="G71" s="9">
        <v>0.12679273000810337</v>
      </c>
      <c r="H71" s="9">
        <v>2.8767337400341546</v>
      </c>
      <c r="I71" s="9">
        <v>184.13741515042062</v>
      </c>
      <c r="J71" s="9">
        <v>31.410000000000021</v>
      </c>
      <c r="K71" s="9">
        <v>3.9635407400533142</v>
      </c>
      <c r="L71" s="9">
        <v>89.926696713467734</v>
      </c>
      <c r="M71" s="9">
        <v>1.175778614226767</v>
      </c>
      <c r="N71" s="9">
        <v>1.3377857730181872</v>
      </c>
      <c r="O71" s="9">
        <v>0.12708964843672779</v>
      </c>
      <c r="P71" s="9">
        <v>0.19013203213549565</v>
      </c>
      <c r="Q71" s="9">
        <v>0.25667824338291911</v>
      </c>
      <c r="R71" s="9">
        <v>2.2876136718611002E-2</v>
      </c>
      <c r="S71" s="9">
        <v>0.95066016067747827</v>
      </c>
      <c r="T71" s="9">
        <v>93.772759143270051</v>
      </c>
      <c r="U71" s="9">
        <v>91.697154049707919</v>
      </c>
      <c r="V71" s="9">
        <v>0.4</v>
      </c>
      <c r="W71" s="9">
        <v>1.175778614226767E-4</v>
      </c>
      <c r="X71" s="9">
        <v>1.2537732345886676E-2</v>
      </c>
      <c r="Y71" s="9">
        <v>0.14049953649691438</v>
      </c>
      <c r="Z71" s="9">
        <v>0.08</v>
      </c>
      <c r="AA71" s="9">
        <v>1.3377857730181871E-4</v>
      </c>
      <c r="AB71" s="9">
        <v>7.2651490840433437E-3</v>
      </c>
      <c r="AC71" s="10">
        <v>8.3781151850484625E-2</v>
      </c>
    </row>
    <row r="72" spans="2:29" ht="17" thickBot="1" x14ac:dyDescent="0.25">
      <c r="B72" s="11">
        <v>60</v>
      </c>
      <c r="C72" s="12">
        <v>0.01</v>
      </c>
      <c r="D72" s="12">
        <v>6.9999999999999999E-4</v>
      </c>
      <c r="E72" s="12">
        <v>2.9394465355669039</v>
      </c>
      <c r="F72" s="12">
        <v>3.0035264700422579</v>
      </c>
      <c r="G72" s="12">
        <v>6.4079934475358508E-2</v>
      </c>
      <c r="H72" s="12">
        <v>2.9394465355668995</v>
      </c>
      <c r="I72" s="12">
        <v>91.697154049707919</v>
      </c>
      <c r="J72" s="12">
        <v>30.930000000000025</v>
      </c>
      <c r="K72" s="12">
        <v>1.9775067779095652</v>
      </c>
      <c r="L72" s="12">
        <v>90.711320087594586</v>
      </c>
      <c r="M72" s="12">
        <v>4.4408920985006262E-15</v>
      </c>
      <c r="N72" s="12">
        <v>0.98583396210827745</v>
      </c>
      <c r="O72" s="12">
        <v>9.3654226400286353E-2</v>
      </c>
      <c r="P72" s="12">
        <v>0.18537765373100831</v>
      </c>
      <c r="Q72" s="12">
        <v>0.25025983253686124</v>
      </c>
      <c r="R72" s="12">
        <v>1.6857760752051542E-2</v>
      </c>
      <c r="S72" s="12">
        <v>0.92688826865504159</v>
      </c>
      <c r="T72" s="12">
        <v>91.403097576229484</v>
      </c>
      <c r="U72" s="12">
        <v>5.0546233865134127E-12</v>
      </c>
      <c r="V72" s="12">
        <v>1</v>
      </c>
      <c r="W72" s="12">
        <v>4.4408920985006263E-19</v>
      </c>
      <c r="X72" s="12">
        <v>5.692920765178117E-15</v>
      </c>
      <c r="Y72" s="12">
        <v>6.794564910705958E-14</v>
      </c>
      <c r="Z72" s="12">
        <v>6.9999999999999993E-2</v>
      </c>
      <c r="AA72" s="12">
        <v>9.8583396210827738E-5</v>
      </c>
      <c r="AB72" s="12">
        <v>1.0750976650527985E-2</v>
      </c>
      <c r="AC72" s="13">
        <v>0.1216500880507928</v>
      </c>
    </row>
  </sheetData>
  <mergeCells count="12">
    <mergeCell ref="L3:Q3"/>
    <mergeCell ref="L9:Q9"/>
    <mergeCell ref="L8:Q8"/>
    <mergeCell ref="L7:Q7"/>
    <mergeCell ref="L6:Q6"/>
    <mergeCell ref="L5:Q5"/>
    <mergeCell ref="L4:Q4"/>
    <mergeCell ref="V8:W8"/>
    <mergeCell ref="V7:W7"/>
    <mergeCell ref="V6:W6"/>
    <mergeCell ref="V5:W5"/>
    <mergeCell ref="V4:W4"/>
  </mergeCells>
  <dataValidations count="1">
    <dataValidation type="list" allowBlank="1" showInputMessage="1" showErrorMessage="1" sqref="D3">
      <formula1>$A$3:$A$6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autoFill="0" autoPict="0" macro="[0]!Yield.YIELD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863600</xdr:colOff>
                    <xdr:row>8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rates'!$C$2:$C$7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3"/>
  <sheetViews>
    <sheetView workbookViewId="0">
      <selection activeCell="E12" sqref="E12"/>
    </sheetView>
  </sheetViews>
  <sheetFormatPr baseColWidth="10" defaultRowHeight="16" x14ac:dyDescent="0.2"/>
  <cols>
    <col min="4" max="4" width="13.5" bestFit="1" customWidth="1"/>
    <col min="6" max="6" width="15.33203125" bestFit="1" customWidth="1"/>
    <col min="7" max="7" width="17.5" bestFit="1" customWidth="1"/>
  </cols>
  <sheetData>
    <row r="1" spans="1:7" ht="17" thickBot="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</row>
    <row r="2" spans="1:7" x14ac:dyDescent="0.2">
      <c r="A2" s="44" t="s">
        <v>55</v>
      </c>
      <c r="B2" s="44">
        <v>36</v>
      </c>
      <c r="C2" s="44" t="s">
        <v>51</v>
      </c>
      <c r="D2" s="44">
        <v>7.17E-2</v>
      </c>
      <c r="E2" s="44">
        <v>0.152</v>
      </c>
      <c r="F2" s="44">
        <v>1</v>
      </c>
      <c r="G2" s="44">
        <v>1</v>
      </c>
    </row>
    <row r="3" spans="1:7" x14ac:dyDescent="0.2">
      <c r="A3" s="44" t="s">
        <v>55</v>
      </c>
      <c r="B3" s="44">
        <v>36</v>
      </c>
      <c r="C3" s="44" t="s">
        <v>52</v>
      </c>
      <c r="D3" s="44">
        <v>0.1067</v>
      </c>
      <c r="E3" s="44">
        <v>0.26779999999999998</v>
      </c>
      <c r="F3" s="44">
        <v>1</v>
      </c>
      <c r="G3" s="44">
        <v>1</v>
      </c>
    </row>
    <row r="4" spans="1:7" x14ac:dyDescent="0.2">
      <c r="A4" s="44" t="s">
        <v>55</v>
      </c>
      <c r="B4" s="44">
        <v>36</v>
      </c>
      <c r="C4" s="44" t="s">
        <v>20</v>
      </c>
      <c r="D4" s="44">
        <v>0.1394</v>
      </c>
      <c r="E4" s="44">
        <v>0.36309999999999998</v>
      </c>
      <c r="F4" s="44">
        <v>1</v>
      </c>
      <c r="G4" s="44">
        <v>1</v>
      </c>
    </row>
    <row r="5" spans="1:7" x14ac:dyDescent="0.2">
      <c r="A5" s="44" t="s">
        <v>55</v>
      </c>
      <c r="B5" s="44">
        <v>36</v>
      </c>
      <c r="C5" s="44" t="s">
        <v>53</v>
      </c>
      <c r="D5" s="44">
        <v>0.17249999999999999</v>
      </c>
      <c r="E5" s="44">
        <v>0.12909999999999999</v>
      </c>
      <c r="F5" s="44">
        <v>1</v>
      </c>
      <c r="G5" s="44">
        <v>1</v>
      </c>
    </row>
    <row r="6" spans="1:7" x14ac:dyDescent="0.2">
      <c r="A6" s="44" t="s">
        <v>55</v>
      </c>
      <c r="B6" s="44">
        <v>36</v>
      </c>
      <c r="C6" s="44" t="s">
        <v>54</v>
      </c>
      <c r="D6" s="44">
        <v>0.20039999999999999</v>
      </c>
      <c r="E6" s="44">
        <v>5.7200000000000001E-2</v>
      </c>
      <c r="F6" s="44">
        <v>1</v>
      </c>
      <c r="G6" s="44">
        <v>1</v>
      </c>
    </row>
    <row r="7" spans="1:7" x14ac:dyDescent="0.2">
      <c r="A7" s="44" t="s">
        <v>55</v>
      </c>
      <c r="B7" s="44">
        <v>36</v>
      </c>
      <c r="C7" s="44" t="s">
        <v>104</v>
      </c>
      <c r="D7" s="44">
        <v>0.24160000000000001</v>
      </c>
      <c r="E7" s="44">
        <v>3.080000000000005E-2</v>
      </c>
      <c r="F7" s="44">
        <v>1</v>
      </c>
      <c r="G7" s="44">
        <v>1</v>
      </c>
    </row>
    <row r="8" spans="1:7" x14ac:dyDescent="0.2">
      <c r="A8" s="44" t="s">
        <v>55</v>
      </c>
      <c r="B8" s="44">
        <v>60</v>
      </c>
      <c r="C8" s="44" t="s">
        <v>51</v>
      </c>
      <c r="D8" s="44">
        <f>D2+0.02</f>
        <v>9.1700000000000004E-2</v>
      </c>
      <c r="E8" s="44">
        <v>0.152</v>
      </c>
      <c r="F8" s="44">
        <v>1</v>
      </c>
      <c r="G8" s="44">
        <v>1</v>
      </c>
    </row>
    <row r="9" spans="1:7" x14ac:dyDescent="0.2">
      <c r="A9" s="44" t="s">
        <v>55</v>
      </c>
      <c r="B9" s="44">
        <v>60</v>
      </c>
      <c r="C9" s="44" t="s">
        <v>52</v>
      </c>
      <c r="D9" s="44">
        <f t="shared" ref="D9:D13" si="0">D3+0.02</f>
        <v>0.12670000000000001</v>
      </c>
      <c r="E9" s="44">
        <v>0.26779999999999998</v>
      </c>
      <c r="F9" s="44">
        <v>1</v>
      </c>
      <c r="G9" s="44">
        <v>1</v>
      </c>
    </row>
    <row r="10" spans="1:7" x14ac:dyDescent="0.2">
      <c r="A10" s="44" t="s">
        <v>55</v>
      </c>
      <c r="B10" s="44">
        <v>60</v>
      </c>
      <c r="C10" s="44" t="s">
        <v>20</v>
      </c>
      <c r="D10" s="44">
        <f t="shared" si="0"/>
        <v>0.15939999999999999</v>
      </c>
      <c r="E10" s="44">
        <v>0.36309999999999998</v>
      </c>
      <c r="F10" s="44">
        <v>1</v>
      </c>
      <c r="G10" s="44">
        <v>1</v>
      </c>
    </row>
    <row r="11" spans="1:7" x14ac:dyDescent="0.2">
      <c r="A11" s="44" t="s">
        <v>55</v>
      </c>
      <c r="B11" s="44">
        <v>60</v>
      </c>
      <c r="C11" s="44" t="s">
        <v>53</v>
      </c>
      <c r="D11" s="44">
        <f t="shared" si="0"/>
        <v>0.19249999999999998</v>
      </c>
      <c r="E11" s="44">
        <v>0.12909999999999999</v>
      </c>
      <c r="F11" s="44">
        <v>1</v>
      </c>
      <c r="G11" s="44">
        <v>1</v>
      </c>
    </row>
    <row r="12" spans="1:7" x14ac:dyDescent="0.2">
      <c r="A12" s="44" t="s">
        <v>55</v>
      </c>
      <c r="B12" s="44">
        <v>60</v>
      </c>
      <c r="C12" s="44" t="s">
        <v>54</v>
      </c>
      <c r="D12" s="44">
        <f t="shared" si="0"/>
        <v>0.22039999999999998</v>
      </c>
      <c r="E12" s="44">
        <v>5.7200000000000001E-2</v>
      </c>
      <c r="F12" s="44">
        <v>1</v>
      </c>
      <c r="G12" s="44">
        <v>1</v>
      </c>
    </row>
    <row r="13" spans="1:7" x14ac:dyDescent="0.2">
      <c r="A13" s="44" t="s">
        <v>55</v>
      </c>
      <c r="B13" s="44">
        <v>60</v>
      </c>
      <c r="C13" s="44" t="s">
        <v>104</v>
      </c>
      <c r="D13" s="44">
        <f t="shared" si="0"/>
        <v>0.2616</v>
      </c>
      <c r="E13" s="44">
        <v>3.080000000000005E-2</v>
      </c>
      <c r="F13" s="44">
        <v>1.2</v>
      </c>
      <c r="G13" s="4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577"/>
  <sheetViews>
    <sheetView workbookViewId="0">
      <selection activeCell="G241" sqref="G241"/>
    </sheetView>
  </sheetViews>
  <sheetFormatPr baseColWidth="10" defaultRowHeight="16" x14ac:dyDescent="0.2"/>
  <cols>
    <col min="3" max="3" width="9.5" customWidth="1"/>
    <col min="4" max="4" width="13.5" bestFit="1" customWidth="1"/>
    <col min="5" max="5" width="8.33203125" bestFit="1" customWidth="1"/>
    <col min="6" max="6" width="15.33203125" bestFit="1" customWidth="1"/>
  </cols>
  <sheetData>
    <row r="1" spans="1:5" x14ac:dyDescent="0.2">
      <c r="A1" s="1" t="s">
        <v>1</v>
      </c>
      <c r="B1" t="s">
        <v>2</v>
      </c>
      <c r="C1" t="s">
        <v>7</v>
      </c>
      <c r="D1" t="s">
        <v>8</v>
      </c>
      <c r="E1" t="s">
        <v>9</v>
      </c>
    </row>
    <row r="2" spans="1:5" x14ac:dyDescent="0.2">
      <c r="A2">
        <v>36</v>
      </c>
      <c r="B2" t="s">
        <v>20</v>
      </c>
      <c r="C2">
        <v>1</v>
      </c>
      <c r="D2">
        <v>0</v>
      </c>
      <c r="E2">
        <v>8.0000000000000002E-3</v>
      </c>
    </row>
    <row r="3" spans="1:5" x14ac:dyDescent="0.2">
      <c r="A3">
        <v>36</v>
      </c>
      <c r="B3" t="s">
        <v>20</v>
      </c>
      <c r="C3">
        <v>2</v>
      </c>
      <c r="D3">
        <v>0</v>
      </c>
      <c r="E3">
        <v>0.01</v>
      </c>
    </row>
    <row r="4" spans="1:5" x14ac:dyDescent="0.2">
      <c r="A4">
        <v>36</v>
      </c>
      <c r="B4" t="s">
        <v>20</v>
      </c>
      <c r="C4">
        <v>3</v>
      </c>
      <c r="D4">
        <v>0</v>
      </c>
      <c r="E4">
        <v>8.0000000000000002E-3</v>
      </c>
    </row>
    <row r="5" spans="1:5" x14ac:dyDescent="0.2">
      <c r="A5">
        <v>36</v>
      </c>
      <c r="B5" t="s">
        <v>20</v>
      </c>
      <c r="C5">
        <v>4</v>
      </c>
      <c r="D5">
        <v>0</v>
      </c>
      <c r="E5">
        <v>8.0000000000000002E-3</v>
      </c>
    </row>
    <row r="6" spans="1:5" x14ac:dyDescent="0.2">
      <c r="A6">
        <v>36</v>
      </c>
      <c r="B6" t="s">
        <v>20</v>
      </c>
      <c r="C6">
        <v>5</v>
      </c>
      <c r="D6">
        <v>4.1787999999999998E-4</v>
      </c>
      <c r="E6">
        <v>0.01</v>
      </c>
    </row>
    <row r="7" spans="1:5" x14ac:dyDescent="0.2">
      <c r="A7">
        <v>36</v>
      </c>
      <c r="B7" t="s">
        <v>20</v>
      </c>
      <c r="C7">
        <v>6</v>
      </c>
      <c r="D7">
        <v>2.31979E-3</v>
      </c>
      <c r="E7">
        <v>4.0000000000000001E-3</v>
      </c>
    </row>
    <row r="8" spans="1:5" x14ac:dyDescent="0.2">
      <c r="A8">
        <v>36</v>
      </c>
      <c r="B8" t="s">
        <v>20</v>
      </c>
      <c r="C8">
        <v>7</v>
      </c>
      <c r="D8">
        <v>4.0318999999999997E-3</v>
      </c>
      <c r="E8">
        <v>5.0000000000000001E-3</v>
      </c>
    </row>
    <row r="9" spans="1:5" x14ac:dyDescent="0.2">
      <c r="A9">
        <v>36</v>
      </c>
      <c r="B9" t="s">
        <v>20</v>
      </c>
      <c r="C9">
        <v>8</v>
      </c>
      <c r="D9">
        <v>5.0269200000000007E-3</v>
      </c>
      <c r="E9">
        <v>7.0000000000000001E-3</v>
      </c>
    </row>
    <row r="10" spans="1:5" x14ac:dyDescent="0.2">
      <c r="A10">
        <v>36</v>
      </c>
      <c r="B10" t="s">
        <v>20</v>
      </c>
      <c r="C10">
        <v>9</v>
      </c>
      <c r="D10">
        <v>5.4389200000000007E-3</v>
      </c>
      <c r="E10">
        <v>5.0000000000000001E-3</v>
      </c>
    </row>
    <row r="11" spans="1:5" x14ac:dyDescent="0.2">
      <c r="A11">
        <v>36</v>
      </c>
      <c r="B11" t="s">
        <v>20</v>
      </c>
      <c r="C11">
        <v>10</v>
      </c>
      <c r="D11">
        <v>5.47365E-3</v>
      </c>
      <c r="E11">
        <v>8.0000000000000002E-3</v>
      </c>
    </row>
    <row r="12" spans="1:5" x14ac:dyDescent="0.2">
      <c r="A12">
        <v>36</v>
      </c>
      <c r="B12" t="s">
        <v>20</v>
      </c>
      <c r="C12">
        <v>11</v>
      </c>
      <c r="D12">
        <v>5.2878400000000002E-3</v>
      </c>
      <c r="E12">
        <v>6.0000000000000001E-3</v>
      </c>
    </row>
    <row r="13" spans="1:5" x14ac:dyDescent="0.2">
      <c r="A13">
        <v>36</v>
      </c>
      <c r="B13" t="s">
        <v>20</v>
      </c>
      <c r="C13">
        <v>12</v>
      </c>
      <c r="D13">
        <v>4.9843600000000002E-3</v>
      </c>
      <c r="E13">
        <v>5.0000000000000001E-3</v>
      </c>
    </row>
    <row r="14" spans="1:5" x14ac:dyDescent="0.2">
      <c r="A14">
        <v>36</v>
      </c>
      <c r="B14" t="s">
        <v>20</v>
      </c>
      <c r="C14">
        <v>13</v>
      </c>
      <c r="D14">
        <v>4.6268500000000001E-3</v>
      </c>
      <c r="E14">
        <v>8.0000000000000002E-3</v>
      </c>
    </row>
    <row r="15" spans="1:5" x14ac:dyDescent="0.2">
      <c r="A15">
        <v>36</v>
      </c>
      <c r="B15" t="s">
        <v>20</v>
      </c>
      <c r="C15">
        <v>14</v>
      </c>
      <c r="D15">
        <v>4.2533600000000003E-3</v>
      </c>
      <c r="E15">
        <v>5.0000000000000001E-3</v>
      </c>
    </row>
    <row r="16" spans="1:5" x14ac:dyDescent="0.2">
      <c r="A16">
        <v>36</v>
      </c>
      <c r="B16" t="s">
        <v>20</v>
      </c>
      <c r="C16">
        <v>15</v>
      </c>
      <c r="D16">
        <v>3.88581E-3</v>
      </c>
      <c r="E16">
        <v>7.0000000000000001E-3</v>
      </c>
    </row>
    <row r="17" spans="1:5" x14ac:dyDescent="0.2">
      <c r="A17">
        <v>36</v>
      </c>
      <c r="B17" t="s">
        <v>20</v>
      </c>
      <c r="C17">
        <v>16</v>
      </c>
      <c r="D17">
        <v>3.5362200000000001E-3</v>
      </c>
      <c r="E17">
        <v>5.0000000000000001E-3</v>
      </c>
    </row>
    <row r="18" spans="1:5" x14ac:dyDescent="0.2">
      <c r="A18">
        <v>36</v>
      </c>
      <c r="B18" t="s">
        <v>20</v>
      </c>
      <c r="C18">
        <v>17</v>
      </c>
      <c r="D18">
        <v>3.2105800000000002E-3</v>
      </c>
      <c r="E18">
        <v>4.0000000000000001E-3</v>
      </c>
    </row>
    <row r="19" spans="1:5" x14ac:dyDescent="0.2">
      <c r="A19">
        <v>36</v>
      </c>
      <c r="B19" t="s">
        <v>20</v>
      </c>
      <c r="C19">
        <v>18</v>
      </c>
      <c r="D19">
        <v>2.9112500000000002E-3</v>
      </c>
      <c r="E19">
        <v>8.9999999999999993E-3</v>
      </c>
    </row>
    <row r="20" spans="1:5" x14ac:dyDescent="0.2">
      <c r="A20">
        <v>36</v>
      </c>
      <c r="B20" t="s">
        <v>20</v>
      </c>
      <c r="C20">
        <v>19</v>
      </c>
      <c r="D20">
        <v>2.6384800000000003E-3</v>
      </c>
      <c r="E20">
        <v>4.0000000000000001E-3</v>
      </c>
    </row>
    <row r="21" spans="1:5" x14ac:dyDescent="0.2">
      <c r="A21">
        <v>36</v>
      </c>
      <c r="B21" t="s">
        <v>20</v>
      </c>
      <c r="C21">
        <v>20</v>
      </c>
      <c r="D21">
        <v>2.3913200000000002E-3</v>
      </c>
      <c r="E21">
        <v>8.0000000000000002E-3</v>
      </c>
    </row>
    <row r="22" spans="1:5" x14ac:dyDescent="0.2">
      <c r="A22">
        <v>36</v>
      </c>
      <c r="B22" t="s">
        <v>20</v>
      </c>
      <c r="C22">
        <v>21</v>
      </c>
      <c r="D22">
        <v>2.16818E-3</v>
      </c>
      <c r="E22">
        <v>7.0000000000000001E-3</v>
      </c>
    </row>
    <row r="23" spans="1:5" x14ac:dyDescent="0.2">
      <c r="A23">
        <v>36</v>
      </c>
      <c r="B23" t="s">
        <v>20</v>
      </c>
      <c r="C23">
        <v>22</v>
      </c>
      <c r="D23">
        <v>1.9671800000000002E-3</v>
      </c>
      <c r="E23">
        <v>5.0000000000000001E-3</v>
      </c>
    </row>
    <row r="24" spans="1:5" x14ac:dyDescent="0.2">
      <c r="A24">
        <v>36</v>
      </c>
      <c r="B24" t="s">
        <v>20</v>
      </c>
      <c r="C24">
        <v>23</v>
      </c>
      <c r="D24">
        <v>1.78634E-3</v>
      </c>
      <c r="E24">
        <v>6.0000000000000001E-3</v>
      </c>
    </row>
    <row r="25" spans="1:5" x14ac:dyDescent="0.2">
      <c r="A25">
        <v>36</v>
      </c>
      <c r="B25" t="s">
        <v>20</v>
      </c>
      <c r="C25">
        <v>24</v>
      </c>
      <c r="D25">
        <v>1.62375E-3</v>
      </c>
      <c r="E25">
        <v>0.01</v>
      </c>
    </row>
    <row r="26" spans="1:5" x14ac:dyDescent="0.2">
      <c r="A26">
        <v>36</v>
      </c>
      <c r="B26" t="s">
        <v>20</v>
      </c>
      <c r="C26">
        <v>25</v>
      </c>
      <c r="D26">
        <v>1.4775599999999999E-3</v>
      </c>
      <c r="E26">
        <v>0.01</v>
      </c>
    </row>
    <row r="27" spans="1:5" x14ac:dyDescent="0.2">
      <c r="A27">
        <v>36</v>
      </c>
      <c r="B27" t="s">
        <v>20</v>
      </c>
      <c r="C27">
        <v>26</v>
      </c>
      <c r="D27">
        <v>1.3460900000000001E-3</v>
      </c>
      <c r="E27">
        <v>5.0000000000000001E-3</v>
      </c>
    </row>
    <row r="28" spans="1:5" x14ac:dyDescent="0.2">
      <c r="A28">
        <v>36</v>
      </c>
      <c r="B28" t="s">
        <v>20</v>
      </c>
      <c r="C28">
        <v>27</v>
      </c>
      <c r="D28">
        <v>1.2277799999999999E-3</v>
      </c>
      <c r="E28">
        <v>8.9999999999999993E-3</v>
      </c>
    </row>
    <row r="29" spans="1:5" x14ac:dyDescent="0.2">
      <c r="A29">
        <v>36</v>
      </c>
      <c r="B29" t="s">
        <v>20</v>
      </c>
      <c r="C29">
        <v>28</v>
      </c>
      <c r="D29">
        <v>1.12123E-3</v>
      </c>
      <c r="E29">
        <v>4.0000000000000001E-3</v>
      </c>
    </row>
    <row r="30" spans="1:5" x14ac:dyDescent="0.2">
      <c r="A30">
        <v>36</v>
      </c>
      <c r="B30" t="s">
        <v>20</v>
      </c>
      <c r="C30">
        <v>29</v>
      </c>
      <c r="D30">
        <v>1.0251799999999999E-3</v>
      </c>
      <c r="E30">
        <v>7.0000000000000001E-3</v>
      </c>
    </row>
    <row r="31" spans="1:5" x14ac:dyDescent="0.2">
      <c r="A31">
        <v>36</v>
      </c>
      <c r="B31" t="s">
        <v>20</v>
      </c>
      <c r="C31">
        <v>30</v>
      </c>
      <c r="D31">
        <v>9.3851000000000004E-4</v>
      </c>
      <c r="E31">
        <v>4.0000000000000001E-3</v>
      </c>
    </row>
    <row r="32" spans="1:5" x14ac:dyDescent="0.2">
      <c r="A32">
        <v>36</v>
      </c>
      <c r="B32" t="s">
        <v>20</v>
      </c>
      <c r="C32">
        <v>31</v>
      </c>
      <c r="D32">
        <v>8.6021999999999997E-4</v>
      </c>
      <c r="E32">
        <v>0.01</v>
      </c>
    </row>
    <row r="33" spans="1:5" x14ac:dyDescent="0.2">
      <c r="A33">
        <v>36</v>
      </c>
      <c r="B33" t="s">
        <v>20</v>
      </c>
      <c r="C33">
        <v>32</v>
      </c>
      <c r="D33">
        <v>7.8940999999999994E-4</v>
      </c>
      <c r="E33">
        <v>4.0000000000000001E-3</v>
      </c>
    </row>
    <row r="34" spans="1:5" x14ac:dyDescent="0.2">
      <c r="A34">
        <v>36</v>
      </c>
      <c r="B34" t="s">
        <v>20</v>
      </c>
      <c r="C34">
        <v>33</v>
      </c>
      <c r="D34">
        <v>7.2528999999999996E-4</v>
      </c>
      <c r="E34">
        <v>8.0000000000000002E-3</v>
      </c>
    </row>
    <row r="35" spans="1:5" x14ac:dyDescent="0.2">
      <c r="A35">
        <v>36</v>
      </c>
      <c r="B35" t="s">
        <v>20</v>
      </c>
      <c r="C35">
        <v>34</v>
      </c>
      <c r="D35">
        <v>6.6715999999999998E-4</v>
      </c>
      <c r="E35">
        <v>8.9999999999999993E-3</v>
      </c>
    </row>
    <row r="36" spans="1:5" x14ac:dyDescent="0.2">
      <c r="A36">
        <v>36</v>
      </c>
      <c r="B36" t="s">
        <v>20</v>
      </c>
      <c r="C36">
        <v>35</v>
      </c>
      <c r="D36">
        <v>6.1439000000000003E-4</v>
      </c>
      <c r="E36">
        <v>6.0000000000000001E-3</v>
      </c>
    </row>
    <row r="37" spans="1:5" x14ac:dyDescent="0.2">
      <c r="A37">
        <v>36</v>
      </c>
      <c r="B37" t="s">
        <v>20</v>
      </c>
      <c r="C37">
        <v>36</v>
      </c>
      <c r="D37">
        <v>5.6643999999999998E-4</v>
      </c>
      <c r="E37">
        <v>6.0000000000000001E-3</v>
      </c>
    </row>
    <row r="38" spans="1:5" x14ac:dyDescent="0.2">
      <c r="A38">
        <v>60</v>
      </c>
      <c r="B38" t="s">
        <v>20</v>
      </c>
      <c r="C38">
        <v>1</v>
      </c>
      <c r="D38">
        <v>0</v>
      </c>
      <c r="E38">
        <v>8.0000000000000002E-3</v>
      </c>
    </row>
    <row r="39" spans="1:5" x14ac:dyDescent="0.2">
      <c r="A39">
        <v>60</v>
      </c>
      <c r="B39" t="s">
        <v>20</v>
      </c>
      <c r="C39">
        <f>C38+1</f>
        <v>2</v>
      </c>
      <c r="D39">
        <v>0</v>
      </c>
      <c r="E39">
        <v>0.01</v>
      </c>
    </row>
    <row r="40" spans="1:5" x14ac:dyDescent="0.2">
      <c r="A40">
        <v>60</v>
      </c>
      <c r="B40" t="s">
        <v>20</v>
      </c>
      <c r="C40">
        <f t="shared" ref="C40:C97" si="0">C39+1</f>
        <v>3</v>
      </c>
      <c r="D40">
        <v>0</v>
      </c>
      <c r="E40">
        <v>8.0000000000000002E-3</v>
      </c>
    </row>
    <row r="41" spans="1:5" x14ac:dyDescent="0.2">
      <c r="A41">
        <v>60</v>
      </c>
      <c r="B41" t="s">
        <v>20</v>
      </c>
      <c r="C41">
        <f t="shared" si="0"/>
        <v>4</v>
      </c>
      <c r="D41">
        <v>0</v>
      </c>
      <c r="E41">
        <v>8.0000000000000002E-3</v>
      </c>
    </row>
    <row r="42" spans="1:5" x14ac:dyDescent="0.2">
      <c r="A42">
        <v>60</v>
      </c>
      <c r="B42" t="s">
        <v>20</v>
      </c>
      <c r="C42">
        <f t="shared" si="0"/>
        <v>5</v>
      </c>
      <c r="D42">
        <v>6.3E-7</v>
      </c>
      <c r="E42">
        <v>0.01</v>
      </c>
    </row>
    <row r="43" spans="1:5" x14ac:dyDescent="0.2">
      <c r="A43">
        <v>60</v>
      </c>
      <c r="B43" t="s">
        <v>20</v>
      </c>
      <c r="C43">
        <f t="shared" si="0"/>
        <v>6</v>
      </c>
      <c r="D43">
        <v>1.1692E-4</v>
      </c>
      <c r="E43">
        <v>4.0000000000000001E-3</v>
      </c>
    </row>
    <row r="44" spans="1:5" x14ac:dyDescent="0.2">
      <c r="A44">
        <v>60</v>
      </c>
      <c r="B44" t="s">
        <v>20</v>
      </c>
      <c r="C44">
        <f t="shared" si="0"/>
        <v>7</v>
      </c>
      <c r="D44">
        <v>6.5120999999999994E-4</v>
      </c>
      <c r="E44">
        <v>5.0000000000000001E-3</v>
      </c>
    </row>
    <row r="45" spans="1:5" x14ac:dyDescent="0.2">
      <c r="A45">
        <v>60</v>
      </c>
      <c r="B45" t="s">
        <v>20</v>
      </c>
      <c r="C45">
        <f t="shared" si="0"/>
        <v>8</v>
      </c>
      <c r="D45">
        <v>1.5460099999999998E-3</v>
      </c>
      <c r="E45">
        <v>7.0000000000000001E-3</v>
      </c>
    </row>
    <row r="46" spans="1:5" x14ac:dyDescent="0.2">
      <c r="A46">
        <v>60</v>
      </c>
      <c r="B46" t="s">
        <v>20</v>
      </c>
      <c r="C46">
        <f t="shared" si="0"/>
        <v>9</v>
      </c>
      <c r="D46">
        <v>2.5613200000000002E-3</v>
      </c>
      <c r="E46">
        <v>5.0000000000000001E-3</v>
      </c>
    </row>
    <row r="47" spans="1:5" x14ac:dyDescent="0.2">
      <c r="A47">
        <v>60</v>
      </c>
      <c r="B47" t="s">
        <v>20</v>
      </c>
      <c r="C47">
        <f t="shared" si="0"/>
        <v>10</v>
      </c>
      <c r="D47">
        <v>3.5122700000000001E-3</v>
      </c>
      <c r="E47">
        <v>8.0000000000000002E-3</v>
      </c>
    </row>
    <row r="48" spans="1:5" x14ac:dyDescent="0.2">
      <c r="A48">
        <v>60</v>
      </c>
      <c r="B48" t="s">
        <v>20</v>
      </c>
      <c r="C48">
        <f t="shared" si="0"/>
        <v>11</v>
      </c>
      <c r="D48">
        <v>4.3042799999999997E-3</v>
      </c>
      <c r="E48">
        <v>6.0000000000000001E-3</v>
      </c>
    </row>
    <row r="49" spans="1:5" x14ac:dyDescent="0.2">
      <c r="A49">
        <v>60</v>
      </c>
      <c r="B49" t="s">
        <v>20</v>
      </c>
      <c r="C49">
        <f t="shared" si="0"/>
        <v>12</v>
      </c>
      <c r="D49">
        <v>4.9069600000000001E-3</v>
      </c>
      <c r="E49">
        <v>5.0000000000000001E-3</v>
      </c>
    </row>
    <row r="50" spans="1:5" x14ac:dyDescent="0.2">
      <c r="A50">
        <v>60</v>
      </c>
      <c r="B50" t="s">
        <v>20</v>
      </c>
      <c r="C50">
        <f t="shared" si="0"/>
        <v>13</v>
      </c>
      <c r="D50">
        <v>5.3257600000000006E-3</v>
      </c>
      <c r="E50">
        <v>8.0000000000000002E-3</v>
      </c>
    </row>
    <row r="51" spans="1:5" x14ac:dyDescent="0.2">
      <c r="A51">
        <v>60</v>
      </c>
      <c r="B51" t="s">
        <v>20</v>
      </c>
      <c r="C51">
        <f t="shared" si="0"/>
        <v>14</v>
      </c>
      <c r="D51">
        <v>5.5826699999999996E-3</v>
      </c>
      <c r="E51">
        <v>5.0000000000000001E-3</v>
      </c>
    </row>
    <row r="52" spans="1:5" x14ac:dyDescent="0.2">
      <c r="A52">
        <v>60</v>
      </c>
      <c r="B52" t="s">
        <v>20</v>
      </c>
      <c r="C52">
        <f t="shared" si="0"/>
        <v>15</v>
      </c>
      <c r="D52">
        <v>5.7052499999999994E-3</v>
      </c>
      <c r="E52">
        <v>7.0000000000000001E-3</v>
      </c>
    </row>
    <row r="53" spans="1:5" x14ac:dyDescent="0.2">
      <c r="A53">
        <v>60</v>
      </c>
      <c r="B53" t="s">
        <v>20</v>
      </c>
      <c r="C53">
        <f t="shared" si="0"/>
        <v>16</v>
      </c>
      <c r="D53">
        <v>5.7208599999999995E-3</v>
      </c>
      <c r="E53">
        <v>5.0000000000000001E-3</v>
      </c>
    </row>
    <row r="54" spans="1:5" x14ac:dyDescent="0.2">
      <c r="A54">
        <v>60</v>
      </c>
      <c r="B54" t="s">
        <v>20</v>
      </c>
      <c r="C54">
        <f t="shared" si="0"/>
        <v>17</v>
      </c>
      <c r="D54">
        <v>5.6541200000000003E-3</v>
      </c>
      <c r="E54">
        <v>4.0000000000000001E-3</v>
      </c>
    </row>
    <row r="55" spans="1:5" x14ac:dyDescent="0.2">
      <c r="A55">
        <v>60</v>
      </c>
      <c r="B55" t="s">
        <v>20</v>
      </c>
      <c r="C55">
        <f t="shared" si="0"/>
        <v>18</v>
      </c>
      <c r="D55">
        <v>5.5259599999999999E-3</v>
      </c>
      <c r="E55">
        <v>8.9999999999999993E-3</v>
      </c>
    </row>
    <row r="56" spans="1:5" x14ac:dyDescent="0.2">
      <c r="A56">
        <v>60</v>
      </c>
      <c r="B56" t="s">
        <v>20</v>
      </c>
      <c r="C56">
        <f t="shared" si="0"/>
        <v>19</v>
      </c>
      <c r="D56">
        <v>5.3535900000000001E-3</v>
      </c>
      <c r="E56">
        <v>4.0000000000000001E-3</v>
      </c>
    </row>
    <row r="57" spans="1:5" x14ac:dyDescent="0.2">
      <c r="A57">
        <v>60</v>
      </c>
      <c r="B57" t="s">
        <v>20</v>
      </c>
      <c r="C57">
        <f t="shared" si="0"/>
        <v>20</v>
      </c>
      <c r="D57">
        <v>5.1508100000000005E-3</v>
      </c>
      <c r="E57">
        <v>8.0000000000000002E-3</v>
      </c>
    </row>
    <row r="58" spans="1:5" x14ac:dyDescent="0.2">
      <c r="A58">
        <v>60</v>
      </c>
      <c r="B58" t="s">
        <v>20</v>
      </c>
      <c r="C58">
        <f t="shared" si="0"/>
        <v>21</v>
      </c>
      <c r="D58">
        <v>4.92845E-3</v>
      </c>
      <c r="E58">
        <v>7.0000000000000001E-3</v>
      </c>
    </row>
    <row r="59" spans="1:5" x14ac:dyDescent="0.2">
      <c r="A59">
        <v>60</v>
      </c>
      <c r="B59" t="s">
        <v>20</v>
      </c>
      <c r="C59">
        <f t="shared" si="0"/>
        <v>22</v>
      </c>
      <c r="D59">
        <v>4.69492E-3</v>
      </c>
      <c r="E59">
        <v>5.0000000000000001E-3</v>
      </c>
    </row>
    <row r="60" spans="1:5" x14ac:dyDescent="0.2">
      <c r="A60">
        <v>60</v>
      </c>
      <c r="B60" t="s">
        <v>20</v>
      </c>
      <c r="C60">
        <f t="shared" si="0"/>
        <v>23</v>
      </c>
      <c r="D60">
        <v>4.4566199999999997E-3</v>
      </c>
      <c r="E60">
        <v>6.0000000000000001E-3</v>
      </c>
    </row>
    <row r="61" spans="1:5" x14ac:dyDescent="0.2">
      <c r="A61">
        <v>60</v>
      </c>
      <c r="B61" t="s">
        <v>20</v>
      </c>
      <c r="C61">
        <f t="shared" si="0"/>
        <v>24</v>
      </c>
      <c r="D61">
        <v>4.21836E-3</v>
      </c>
      <c r="E61">
        <v>0.01</v>
      </c>
    </row>
    <row r="62" spans="1:5" x14ac:dyDescent="0.2">
      <c r="A62">
        <v>60</v>
      </c>
      <c r="B62" t="s">
        <v>20</v>
      </c>
      <c r="C62">
        <f t="shared" si="0"/>
        <v>25</v>
      </c>
      <c r="D62">
        <v>3.9836799999999999E-3</v>
      </c>
      <c r="E62">
        <v>0.01</v>
      </c>
    </row>
    <row r="63" spans="1:5" x14ac:dyDescent="0.2">
      <c r="A63">
        <v>60</v>
      </c>
      <c r="B63" t="s">
        <v>20</v>
      </c>
      <c r="C63">
        <f t="shared" si="0"/>
        <v>26</v>
      </c>
      <c r="D63">
        <v>3.7551200000000002E-3</v>
      </c>
      <c r="E63">
        <v>5.0000000000000001E-3</v>
      </c>
    </row>
    <row r="64" spans="1:5" x14ac:dyDescent="0.2">
      <c r="A64">
        <v>60</v>
      </c>
      <c r="B64" t="s">
        <v>20</v>
      </c>
      <c r="C64">
        <f t="shared" si="0"/>
        <v>27</v>
      </c>
      <c r="D64">
        <v>3.5344599999999997E-3</v>
      </c>
      <c r="E64">
        <v>8.9999999999999993E-3</v>
      </c>
    </row>
    <row r="65" spans="1:5" x14ac:dyDescent="0.2">
      <c r="A65">
        <v>60</v>
      </c>
      <c r="B65" t="s">
        <v>20</v>
      </c>
      <c r="C65">
        <f t="shared" si="0"/>
        <v>28</v>
      </c>
      <c r="D65">
        <v>3.3228799999999998E-3</v>
      </c>
      <c r="E65">
        <v>4.0000000000000001E-3</v>
      </c>
    </row>
    <row r="66" spans="1:5" x14ac:dyDescent="0.2">
      <c r="A66">
        <v>60</v>
      </c>
      <c r="B66" t="s">
        <v>20</v>
      </c>
      <c r="C66">
        <f t="shared" si="0"/>
        <v>29</v>
      </c>
      <c r="D66">
        <v>3.1211100000000003E-3</v>
      </c>
      <c r="E66">
        <v>7.0000000000000001E-3</v>
      </c>
    </row>
    <row r="67" spans="1:5" x14ac:dyDescent="0.2">
      <c r="A67">
        <v>60</v>
      </c>
      <c r="B67" t="s">
        <v>20</v>
      </c>
      <c r="C67">
        <f t="shared" si="0"/>
        <v>30</v>
      </c>
      <c r="D67">
        <v>2.9295100000000002E-3</v>
      </c>
      <c r="E67">
        <v>4.0000000000000001E-3</v>
      </c>
    </row>
    <row r="68" spans="1:5" x14ac:dyDescent="0.2">
      <c r="A68">
        <v>60</v>
      </c>
      <c r="B68" t="s">
        <v>20</v>
      </c>
      <c r="C68">
        <f t="shared" si="0"/>
        <v>31</v>
      </c>
      <c r="D68">
        <v>2.7482099999999996E-3</v>
      </c>
      <c r="E68">
        <v>0.01</v>
      </c>
    </row>
    <row r="69" spans="1:5" x14ac:dyDescent="0.2">
      <c r="A69">
        <v>60</v>
      </c>
      <c r="B69" t="s">
        <v>20</v>
      </c>
      <c r="C69">
        <f t="shared" si="0"/>
        <v>32</v>
      </c>
      <c r="D69">
        <v>2.5771399999999999E-3</v>
      </c>
      <c r="E69">
        <v>4.0000000000000001E-3</v>
      </c>
    </row>
    <row r="70" spans="1:5" x14ac:dyDescent="0.2">
      <c r="A70">
        <v>60</v>
      </c>
      <c r="B70" t="s">
        <v>20</v>
      </c>
      <c r="C70">
        <f t="shared" si="0"/>
        <v>33</v>
      </c>
      <c r="D70">
        <v>2.4160900000000001E-3</v>
      </c>
      <c r="E70">
        <v>8.0000000000000002E-3</v>
      </c>
    </row>
    <row r="71" spans="1:5" x14ac:dyDescent="0.2">
      <c r="A71">
        <v>60</v>
      </c>
      <c r="B71" t="s">
        <v>20</v>
      </c>
      <c r="C71">
        <f t="shared" si="0"/>
        <v>34</v>
      </c>
      <c r="D71">
        <v>2.2647500000000003E-3</v>
      </c>
      <c r="E71">
        <v>8.9999999999999993E-3</v>
      </c>
    </row>
    <row r="72" spans="1:5" x14ac:dyDescent="0.2">
      <c r="A72">
        <v>60</v>
      </c>
      <c r="B72" t="s">
        <v>20</v>
      </c>
      <c r="C72">
        <f t="shared" si="0"/>
        <v>35</v>
      </c>
      <c r="D72">
        <v>2.1227399999999997E-3</v>
      </c>
      <c r="E72">
        <v>6.0000000000000001E-3</v>
      </c>
    </row>
    <row r="73" spans="1:5" x14ac:dyDescent="0.2">
      <c r="A73">
        <v>60</v>
      </c>
      <c r="B73" t="s">
        <v>20</v>
      </c>
      <c r="C73">
        <f t="shared" si="0"/>
        <v>36</v>
      </c>
      <c r="D73">
        <v>1.9896499999999999E-3</v>
      </c>
      <c r="E73">
        <v>6.0000000000000001E-3</v>
      </c>
    </row>
    <row r="74" spans="1:5" x14ac:dyDescent="0.2">
      <c r="A74">
        <v>60</v>
      </c>
      <c r="B74" t="s">
        <v>20</v>
      </c>
      <c r="C74">
        <f t="shared" si="0"/>
        <v>37</v>
      </c>
      <c r="D74">
        <v>1.8650400000000001E-3</v>
      </c>
      <c r="E74">
        <v>7.0000000000000001E-3</v>
      </c>
    </row>
    <row r="75" spans="1:5" x14ac:dyDescent="0.2">
      <c r="A75">
        <v>60</v>
      </c>
      <c r="B75" t="s">
        <v>20</v>
      </c>
      <c r="C75">
        <f t="shared" si="0"/>
        <v>38</v>
      </c>
      <c r="D75">
        <v>1.7484499999999999E-3</v>
      </c>
      <c r="E75">
        <v>5.0000000000000001E-3</v>
      </c>
    </row>
    <row r="76" spans="1:5" x14ac:dyDescent="0.2">
      <c r="A76">
        <v>60</v>
      </c>
      <c r="B76" t="s">
        <v>20</v>
      </c>
      <c r="C76">
        <f t="shared" si="0"/>
        <v>39</v>
      </c>
      <c r="D76">
        <v>1.6394199999999999E-3</v>
      </c>
      <c r="E76">
        <v>4.0000000000000001E-3</v>
      </c>
    </row>
    <row r="77" spans="1:5" x14ac:dyDescent="0.2">
      <c r="A77">
        <v>60</v>
      </c>
      <c r="B77" t="s">
        <v>20</v>
      </c>
      <c r="C77">
        <f t="shared" si="0"/>
        <v>40</v>
      </c>
      <c r="D77">
        <v>1.5375199999999999E-3</v>
      </c>
      <c r="E77">
        <v>8.9999999999999993E-3</v>
      </c>
    </row>
    <row r="78" spans="1:5" x14ac:dyDescent="0.2">
      <c r="A78">
        <v>60</v>
      </c>
      <c r="B78" t="s">
        <v>20</v>
      </c>
      <c r="C78">
        <f t="shared" si="0"/>
        <v>41</v>
      </c>
      <c r="D78">
        <v>1.4422899999999999E-3</v>
      </c>
      <c r="E78">
        <v>4.0000000000000001E-3</v>
      </c>
    </row>
    <row r="79" spans="1:5" x14ac:dyDescent="0.2">
      <c r="A79">
        <v>60</v>
      </c>
      <c r="B79" t="s">
        <v>20</v>
      </c>
      <c r="C79">
        <f t="shared" si="0"/>
        <v>42</v>
      </c>
      <c r="D79">
        <v>1.35333E-3</v>
      </c>
      <c r="E79">
        <v>8.0000000000000002E-3</v>
      </c>
    </row>
    <row r="80" spans="1:5" x14ac:dyDescent="0.2">
      <c r="A80">
        <v>60</v>
      </c>
      <c r="B80" t="s">
        <v>20</v>
      </c>
      <c r="C80">
        <f t="shared" si="0"/>
        <v>43</v>
      </c>
      <c r="D80">
        <v>1.27023E-3</v>
      </c>
      <c r="E80">
        <v>7.0000000000000001E-3</v>
      </c>
    </row>
    <row r="81" spans="1:5" x14ac:dyDescent="0.2">
      <c r="A81">
        <v>60</v>
      </c>
      <c r="B81" t="s">
        <v>20</v>
      </c>
      <c r="C81">
        <f t="shared" si="0"/>
        <v>44</v>
      </c>
      <c r="D81">
        <v>1.19261E-3</v>
      </c>
      <c r="E81">
        <v>5.0000000000000001E-3</v>
      </c>
    </row>
    <row r="82" spans="1:5" x14ac:dyDescent="0.2">
      <c r="A82">
        <v>60</v>
      </c>
      <c r="B82" t="s">
        <v>20</v>
      </c>
      <c r="C82">
        <f t="shared" si="0"/>
        <v>45</v>
      </c>
      <c r="D82">
        <v>1.1201E-3</v>
      </c>
      <c r="E82">
        <v>6.0000000000000001E-3</v>
      </c>
    </row>
    <row r="83" spans="1:5" x14ac:dyDescent="0.2">
      <c r="A83">
        <v>60</v>
      </c>
      <c r="B83" t="s">
        <v>20</v>
      </c>
      <c r="C83">
        <f t="shared" si="0"/>
        <v>46</v>
      </c>
      <c r="D83">
        <v>1.05236E-3</v>
      </c>
      <c r="E83">
        <v>0.01</v>
      </c>
    </row>
    <row r="84" spans="1:5" x14ac:dyDescent="0.2">
      <c r="A84">
        <v>60</v>
      </c>
      <c r="B84" t="s">
        <v>20</v>
      </c>
      <c r="C84">
        <f t="shared" si="0"/>
        <v>47</v>
      </c>
      <c r="D84">
        <v>9.8906999999999988E-4</v>
      </c>
      <c r="E84">
        <v>0.01</v>
      </c>
    </row>
    <row r="85" spans="1:5" x14ac:dyDescent="0.2">
      <c r="A85">
        <v>60</v>
      </c>
      <c r="B85" t="s">
        <v>20</v>
      </c>
      <c r="C85">
        <f t="shared" si="0"/>
        <v>48</v>
      </c>
      <c r="D85">
        <v>9.299200000000001E-4</v>
      </c>
      <c r="E85">
        <v>5.0000000000000001E-3</v>
      </c>
    </row>
    <row r="86" spans="1:5" x14ac:dyDescent="0.2">
      <c r="A86">
        <v>60</v>
      </c>
      <c r="B86" t="s">
        <v>20</v>
      </c>
      <c r="C86">
        <f t="shared" si="0"/>
        <v>49</v>
      </c>
      <c r="D86">
        <v>8.7463999999999999E-4</v>
      </c>
      <c r="E86">
        <v>8.9999999999999993E-3</v>
      </c>
    </row>
    <row r="87" spans="1:5" x14ac:dyDescent="0.2">
      <c r="A87">
        <v>60</v>
      </c>
      <c r="B87" t="s">
        <v>20</v>
      </c>
      <c r="C87">
        <f t="shared" si="0"/>
        <v>50</v>
      </c>
      <c r="D87">
        <v>8.2294999999999992E-4</v>
      </c>
      <c r="E87">
        <v>4.0000000000000001E-3</v>
      </c>
    </row>
    <row r="88" spans="1:5" x14ac:dyDescent="0.2">
      <c r="A88">
        <v>60</v>
      </c>
      <c r="B88" t="s">
        <v>20</v>
      </c>
      <c r="C88">
        <f t="shared" si="0"/>
        <v>51</v>
      </c>
      <c r="D88">
        <v>7.7461000000000001E-4</v>
      </c>
      <c r="E88">
        <v>7.0000000000000001E-3</v>
      </c>
    </row>
    <row r="89" spans="1:5" x14ac:dyDescent="0.2">
      <c r="A89">
        <v>60</v>
      </c>
      <c r="B89" t="s">
        <v>20</v>
      </c>
      <c r="C89">
        <f t="shared" si="0"/>
        <v>52</v>
      </c>
      <c r="D89">
        <v>7.2940000000000006E-4</v>
      </c>
      <c r="E89">
        <v>4.0000000000000001E-3</v>
      </c>
    </row>
    <row r="90" spans="1:5" x14ac:dyDescent="0.2">
      <c r="A90">
        <v>60</v>
      </c>
      <c r="B90" t="s">
        <v>20</v>
      </c>
      <c r="C90">
        <f t="shared" si="0"/>
        <v>53</v>
      </c>
      <c r="D90">
        <v>6.8709000000000001E-4</v>
      </c>
      <c r="E90">
        <v>0.01</v>
      </c>
    </row>
    <row r="91" spans="1:5" x14ac:dyDescent="0.2">
      <c r="A91">
        <v>60</v>
      </c>
      <c r="B91" t="s">
        <v>20</v>
      </c>
      <c r="C91">
        <f t="shared" si="0"/>
        <v>54</v>
      </c>
      <c r="D91">
        <v>6.4749000000000002E-4</v>
      </c>
      <c r="E91">
        <v>0.01</v>
      </c>
    </row>
    <row r="92" spans="1:5" x14ac:dyDescent="0.2">
      <c r="A92">
        <v>60</v>
      </c>
      <c r="B92" t="s">
        <v>20</v>
      </c>
      <c r="C92">
        <f t="shared" si="0"/>
        <v>55</v>
      </c>
      <c r="D92">
        <v>6.1041000000000003E-4</v>
      </c>
      <c r="E92">
        <v>5.0000000000000001E-3</v>
      </c>
    </row>
    <row r="93" spans="1:5" x14ac:dyDescent="0.2">
      <c r="A93">
        <v>60</v>
      </c>
      <c r="B93" t="s">
        <v>20</v>
      </c>
      <c r="C93">
        <f t="shared" si="0"/>
        <v>56</v>
      </c>
      <c r="D93">
        <v>5.7567999999999996E-4</v>
      </c>
      <c r="E93">
        <v>8.9999999999999993E-3</v>
      </c>
    </row>
    <row r="94" spans="1:5" x14ac:dyDescent="0.2">
      <c r="A94">
        <v>60</v>
      </c>
      <c r="B94" t="s">
        <v>20</v>
      </c>
      <c r="C94">
        <f t="shared" si="0"/>
        <v>57</v>
      </c>
      <c r="D94">
        <v>5.4314000000000001E-4</v>
      </c>
      <c r="E94">
        <v>4.0000000000000001E-3</v>
      </c>
    </row>
    <row r="95" spans="1:5" x14ac:dyDescent="0.2">
      <c r="A95">
        <v>60</v>
      </c>
      <c r="B95" t="s">
        <v>20</v>
      </c>
      <c r="C95">
        <f t="shared" si="0"/>
        <v>58</v>
      </c>
      <c r="D95">
        <v>5.1263999999999997E-4</v>
      </c>
      <c r="E95">
        <v>7.0000000000000001E-3</v>
      </c>
    </row>
    <row r="96" spans="1:5" x14ac:dyDescent="0.2">
      <c r="A96">
        <v>60</v>
      </c>
      <c r="B96" t="s">
        <v>20</v>
      </c>
      <c r="C96">
        <f t="shared" si="0"/>
        <v>59</v>
      </c>
      <c r="D96">
        <v>4.8403000000000004E-4</v>
      </c>
      <c r="E96">
        <v>4.0000000000000001E-3</v>
      </c>
    </row>
    <row r="97" spans="1:5" x14ac:dyDescent="0.2">
      <c r="A97">
        <v>60</v>
      </c>
      <c r="B97" t="s">
        <v>20</v>
      </c>
      <c r="C97">
        <f t="shared" si="0"/>
        <v>60</v>
      </c>
      <c r="D97">
        <v>4.5720999999999999E-4</v>
      </c>
      <c r="E97">
        <v>0.01</v>
      </c>
    </row>
    <row r="98" spans="1:5" x14ac:dyDescent="0.2">
      <c r="A98">
        <v>36</v>
      </c>
      <c r="B98" t="s">
        <v>51</v>
      </c>
      <c r="C98">
        <v>1</v>
      </c>
      <c r="D98">
        <v>0</v>
      </c>
      <c r="E98">
        <v>5.0000000000000001E-3</v>
      </c>
    </row>
    <row r="99" spans="1:5" x14ac:dyDescent="0.2">
      <c r="A99">
        <v>36</v>
      </c>
      <c r="B99" t="s">
        <v>51</v>
      </c>
      <c r="C99">
        <f>C98+1</f>
        <v>2</v>
      </c>
      <c r="D99">
        <v>0</v>
      </c>
      <c r="E99">
        <v>8.9999999999999993E-3</v>
      </c>
    </row>
    <row r="100" spans="1:5" x14ac:dyDescent="0.2">
      <c r="A100">
        <v>36</v>
      </c>
      <c r="B100" t="s">
        <v>51</v>
      </c>
      <c r="C100">
        <f t="shared" ref="C100:C133" si="1">C99+1</f>
        <v>3</v>
      </c>
      <c r="D100">
        <v>1.84481859126E-3</v>
      </c>
      <c r="E100">
        <v>4.0000000000000001E-3</v>
      </c>
    </row>
    <row r="101" spans="1:5" x14ac:dyDescent="0.2">
      <c r="A101">
        <v>36</v>
      </c>
      <c r="B101" t="s">
        <v>51</v>
      </c>
      <c r="C101">
        <f t="shared" si="1"/>
        <v>4</v>
      </c>
      <c r="D101">
        <v>2.81437317853E-3</v>
      </c>
      <c r="E101">
        <v>7.0000000000000001E-3</v>
      </c>
    </row>
    <row r="102" spans="1:5" x14ac:dyDescent="0.2">
      <c r="A102">
        <v>36</v>
      </c>
      <c r="B102" t="s">
        <v>51</v>
      </c>
      <c r="C102">
        <f t="shared" si="1"/>
        <v>5</v>
      </c>
      <c r="D102">
        <v>3.0112529849600001E-3</v>
      </c>
      <c r="E102">
        <v>4.0000000000000001E-3</v>
      </c>
    </row>
    <row r="103" spans="1:5" x14ac:dyDescent="0.2">
      <c r="A103">
        <v>36</v>
      </c>
      <c r="B103" t="s">
        <v>51</v>
      </c>
      <c r="C103">
        <f t="shared" si="1"/>
        <v>6</v>
      </c>
      <c r="D103">
        <v>2.9703857576999998E-3</v>
      </c>
      <c r="E103">
        <v>0.01</v>
      </c>
    </row>
    <row r="104" spans="1:5" x14ac:dyDescent="0.2">
      <c r="A104">
        <v>36</v>
      </c>
      <c r="B104" t="s">
        <v>51</v>
      </c>
      <c r="C104">
        <f t="shared" si="1"/>
        <v>7</v>
      </c>
      <c r="D104">
        <v>2.8463201021599999E-3</v>
      </c>
      <c r="E104">
        <v>4.0000000000000001E-3</v>
      </c>
    </row>
    <row r="105" spans="1:5" x14ac:dyDescent="0.2">
      <c r="A105">
        <v>36</v>
      </c>
      <c r="B105" t="s">
        <v>51</v>
      </c>
      <c r="C105">
        <f t="shared" si="1"/>
        <v>8</v>
      </c>
      <c r="D105">
        <v>2.6948266924599999E-3</v>
      </c>
      <c r="E105">
        <v>8.0000000000000002E-3</v>
      </c>
    </row>
    <row r="106" spans="1:5" x14ac:dyDescent="0.2">
      <c r="A106">
        <v>36</v>
      </c>
      <c r="B106" t="s">
        <v>51</v>
      </c>
      <c r="C106">
        <f t="shared" si="1"/>
        <v>9</v>
      </c>
      <c r="D106">
        <v>2.53846215906E-3</v>
      </c>
      <c r="E106">
        <v>8.9999999999999993E-3</v>
      </c>
    </row>
    <row r="107" spans="1:5" x14ac:dyDescent="0.2">
      <c r="A107">
        <v>36</v>
      </c>
      <c r="B107" t="s">
        <v>51</v>
      </c>
      <c r="C107">
        <f t="shared" si="1"/>
        <v>10</v>
      </c>
      <c r="D107">
        <v>2.3867539453300002E-3</v>
      </c>
      <c r="E107">
        <v>6.0000000000000001E-3</v>
      </c>
    </row>
    <row r="108" spans="1:5" x14ac:dyDescent="0.2">
      <c r="A108">
        <v>36</v>
      </c>
      <c r="B108" t="s">
        <v>51</v>
      </c>
      <c r="C108">
        <f t="shared" si="1"/>
        <v>11</v>
      </c>
      <c r="D108">
        <v>2.2436085403800001E-3</v>
      </c>
      <c r="E108">
        <v>6.0000000000000001E-3</v>
      </c>
    </row>
    <row r="109" spans="1:5" x14ac:dyDescent="0.2">
      <c r="A109">
        <v>36</v>
      </c>
      <c r="B109" t="s">
        <v>51</v>
      </c>
      <c r="C109">
        <f t="shared" si="1"/>
        <v>12</v>
      </c>
      <c r="D109">
        <v>2.1103669493E-3</v>
      </c>
      <c r="E109">
        <v>7.0000000000000001E-3</v>
      </c>
    </row>
    <row r="110" spans="1:5" x14ac:dyDescent="0.2">
      <c r="A110">
        <v>36</v>
      </c>
      <c r="B110" t="s">
        <v>51</v>
      </c>
      <c r="C110">
        <f t="shared" si="1"/>
        <v>13</v>
      </c>
      <c r="D110">
        <v>1.9871707318300002E-3</v>
      </c>
      <c r="E110">
        <v>5.0000000000000001E-3</v>
      </c>
    </row>
    <row r="111" spans="1:5" x14ac:dyDescent="0.2">
      <c r="A111">
        <v>36</v>
      </c>
      <c r="B111" t="s">
        <v>51</v>
      </c>
      <c r="C111">
        <f t="shared" si="1"/>
        <v>14</v>
      </c>
      <c r="D111">
        <v>1.8736077204700001E-3</v>
      </c>
      <c r="E111">
        <v>4.0000000000000001E-3</v>
      </c>
    </row>
    <row r="112" spans="1:5" x14ac:dyDescent="0.2">
      <c r="A112">
        <v>36</v>
      </c>
      <c r="B112" t="s">
        <v>51</v>
      </c>
      <c r="C112">
        <f t="shared" si="1"/>
        <v>15</v>
      </c>
      <c r="D112">
        <v>1.76902842642E-3</v>
      </c>
      <c r="E112">
        <v>8.9999999999999993E-3</v>
      </c>
    </row>
    <row r="113" spans="1:5" x14ac:dyDescent="0.2">
      <c r="A113">
        <v>36</v>
      </c>
      <c r="B113" t="s">
        <v>51</v>
      </c>
      <c r="C113">
        <f t="shared" si="1"/>
        <v>16</v>
      </c>
      <c r="D113">
        <v>1.672703819E-3</v>
      </c>
      <c r="E113">
        <v>4.0000000000000001E-3</v>
      </c>
    </row>
    <row r="114" spans="1:5" x14ac:dyDescent="0.2">
      <c r="A114">
        <v>36</v>
      </c>
      <c r="B114" t="s">
        <v>51</v>
      </c>
      <c r="C114">
        <f t="shared" si="1"/>
        <v>17</v>
      </c>
      <c r="D114">
        <v>1.5839037042400001E-3</v>
      </c>
      <c r="E114">
        <v>8.0000000000000002E-3</v>
      </c>
    </row>
    <row r="115" spans="1:5" x14ac:dyDescent="0.2">
      <c r="A115">
        <v>36</v>
      </c>
      <c r="B115" t="s">
        <v>51</v>
      </c>
      <c r="C115">
        <f t="shared" si="1"/>
        <v>18</v>
      </c>
      <c r="D115">
        <v>1.5019342973299999E-3</v>
      </c>
      <c r="E115">
        <v>7.0000000000000001E-3</v>
      </c>
    </row>
    <row r="116" spans="1:5" x14ac:dyDescent="0.2">
      <c r="A116">
        <v>36</v>
      </c>
      <c r="B116" t="s">
        <v>51</v>
      </c>
      <c r="C116">
        <f t="shared" si="1"/>
        <v>19</v>
      </c>
      <c r="D116">
        <v>1.42615451675E-3</v>
      </c>
      <c r="E116">
        <v>5.0000000000000001E-3</v>
      </c>
    </row>
    <row r="117" spans="1:5" x14ac:dyDescent="0.2">
      <c r="A117">
        <v>36</v>
      </c>
      <c r="B117" t="s">
        <v>51</v>
      </c>
      <c r="C117">
        <f t="shared" si="1"/>
        <v>20</v>
      </c>
      <c r="D117">
        <v>1.3559811729799999E-3</v>
      </c>
      <c r="E117">
        <v>6.0000000000000001E-3</v>
      </c>
    </row>
    <row r="118" spans="1:5" x14ac:dyDescent="0.2">
      <c r="A118">
        <v>36</v>
      </c>
      <c r="B118" t="s">
        <v>51</v>
      </c>
      <c r="C118">
        <f t="shared" si="1"/>
        <v>21</v>
      </c>
      <c r="D118">
        <v>1.2908884631499999E-3</v>
      </c>
      <c r="E118">
        <v>0.01</v>
      </c>
    </row>
    <row r="119" spans="1:5" x14ac:dyDescent="0.2">
      <c r="A119">
        <v>36</v>
      </c>
      <c r="B119" t="s">
        <v>51</v>
      </c>
      <c r="C119">
        <f t="shared" si="1"/>
        <v>22</v>
      </c>
      <c r="D119">
        <v>1.23040468762E-3</v>
      </c>
      <c r="E119">
        <v>0.01</v>
      </c>
    </row>
    <row r="120" spans="1:5" x14ac:dyDescent="0.2">
      <c r="A120">
        <v>36</v>
      </c>
      <c r="B120" t="s">
        <v>51</v>
      </c>
      <c r="C120">
        <f t="shared" si="1"/>
        <v>23</v>
      </c>
      <c r="D120">
        <v>1.1741077651800001E-3</v>
      </c>
      <c r="E120">
        <v>5.0000000000000001E-3</v>
      </c>
    </row>
    <row r="121" spans="1:5" x14ac:dyDescent="0.2">
      <c r="A121">
        <v>36</v>
      </c>
      <c r="B121" t="s">
        <v>51</v>
      </c>
      <c r="C121">
        <f t="shared" si="1"/>
        <v>24</v>
      </c>
      <c r="D121">
        <v>1.1216203923E-3</v>
      </c>
      <c r="E121">
        <v>8.9999999999999993E-3</v>
      </c>
    </row>
    <row r="122" spans="1:5" x14ac:dyDescent="0.2">
      <c r="A122">
        <v>36</v>
      </c>
      <c r="B122" t="s">
        <v>51</v>
      </c>
      <c r="C122">
        <f t="shared" si="1"/>
        <v>25</v>
      </c>
      <c r="D122">
        <v>1.07260528776E-3</v>
      </c>
      <c r="E122">
        <v>4.0000000000000001E-3</v>
      </c>
    </row>
    <row r="123" spans="1:5" x14ac:dyDescent="0.2">
      <c r="A123">
        <v>36</v>
      </c>
      <c r="B123" t="s">
        <v>51</v>
      </c>
      <c r="C123">
        <f t="shared" si="1"/>
        <v>26</v>
      </c>
      <c r="D123">
        <v>1.0267607396300001E-3</v>
      </c>
      <c r="E123">
        <v>7.0000000000000001E-3</v>
      </c>
    </row>
    <row r="124" spans="1:5" x14ac:dyDescent="0.2">
      <c r="A124">
        <v>36</v>
      </c>
      <c r="B124" t="s">
        <v>51</v>
      </c>
      <c r="C124">
        <f t="shared" si="1"/>
        <v>27</v>
      </c>
      <c r="D124">
        <v>9.8381654723000002E-4</v>
      </c>
      <c r="E124">
        <v>4.0000000000000001E-3</v>
      </c>
    </row>
    <row r="125" spans="1:5" x14ac:dyDescent="0.2">
      <c r="A125">
        <v>36</v>
      </c>
      <c r="B125" t="s">
        <v>51</v>
      </c>
      <c r="C125">
        <f t="shared" si="1"/>
        <v>28</v>
      </c>
      <c r="D125">
        <v>9.4353038323299995E-4</v>
      </c>
      <c r="E125">
        <v>0.01</v>
      </c>
    </row>
    <row r="126" spans="1:5" x14ac:dyDescent="0.2">
      <c r="A126">
        <v>36</v>
      </c>
      <c r="B126" t="s">
        <v>51</v>
      </c>
      <c r="C126">
        <f t="shared" si="1"/>
        <v>29</v>
      </c>
      <c r="D126">
        <v>9.0568456498200001E-4</v>
      </c>
      <c r="E126">
        <v>0.01</v>
      </c>
    </row>
    <row r="127" spans="1:5" x14ac:dyDescent="0.2">
      <c r="A127">
        <v>36</v>
      </c>
      <c r="B127" t="s">
        <v>51</v>
      </c>
      <c r="C127">
        <f t="shared" si="1"/>
        <v>30</v>
      </c>
      <c r="D127">
        <v>8.7008320682699998E-4</v>
      </c>
      <c r="E127">
        <v>5.0000000000000001E-3</v>
      </c>
    </row>
    <row r="128" spans="1:5" x14ac:dyDescent="0.2">
      <c r="A128">
        <v>36</v>
      </c>
      <c r="B128" t="s">
        <v>51</v>
      </c>
      <c r="C128">
        <f t="shared" si="1"/>
        <v>31</v>
      </c>
      <c r="D128">
        <v>8.3654971771100002E-4</v>
      </c>
      <c r="E128">
        <v>8.9999999999999993E-3</v>
      </c>
    </row>
    <row r="129" spans="1:5" x14ac:dyDescent="0.2">
      <c r="A129">
        <v>36</v>
      </c>
      <c r="B129" t="s">
        <v>51</v>
      </c>
      <c r="C129">
        <f t="shared" si="1"/>
        <v>32</v>
      </c>
      <c r="D129">
        <v>8.0492460653500001E-4</v>
      </c>
      <c r="E129">
        <v>4.0000000000000001E-3</v>
      </c>
    </row>
    <row r="130" spans="1:5" x14ac:dyDescent="0.2">
      <c r="A130">
        <v>36</v>
      </c>
      <c r="B130" t="s">
        <v>51</v>
      </c>
      <c r="C130">
        <f t="shared" si="1"/>
        <v>33</v>
      </c>
      <c r="D130">
        <v>7.7506355907500004E-4</v>
      </c>
      <c r="E130">
        <v>7.0000000000000001E-3</v>
      </c>
    </row>
    <row r="131" spans="1:5" x14ac:dyDescent="0.2">
      <c r="A131">
        <v>36</v>
      </c>
      <c r="B131" t="s">
        <v>51</v>
      </c>
      <c r="C131">
        <f t="shared" si="1"/>
        <v>34</v>
      </c>
      <c r="D131">
        <v>7.46835752873E-4</v>
      </c>
      <c r="E131">
        <v>4.0000000000000001E-3</v>
      </c>
    </row>
    <row r="132" spans="1:5" x14ac:dyDescent="0.2">
      <c r="A132">
        <v>36</v>
      </c>
      <c r="B132" t="s">
        <v>51</v>
      </c>
      <c r="C132">
        <f t="shared" si="1"/>
        <v>35</v>
      </c>
      <c r="D132">
        <v>7.20122379882E-4</v>
      </c>
      <c r="E132">
        <v>0.01</v>
      </c>
    </row>
    <row r="133" spans="1:5" x14ac:dyDescent="0.2">
      <c r="A133">
        <v>36</v>
      </c>
      <c r="B133" t="s">
        <v>51</v>
      </c>
      <c r="C133">
        <f t="shared" si="1"/>
        <v>36</v>
      </c>
      <c r="D133">
        <v>6.9481534998199997E-4</v>
      </c>
      <c r="E133">
        <v>4.0000000000000001E-3</v>
      </c>
    </row>
    <row r="134" spans="1:5" x14ac:dyDescent="0.2">
      <c r="A134">
        <v>36</v>
      </c>
      <c r="B134" t="s">
        <v>52</v>
      </c>
      <c r="C134">
        <v>1</v>
      </c>
      <c r="D134" s="40">
        <v>0</v>
      </c>
      <c r="E134">
        <v>0.01</v>
      </c>
    </row>
    <row r="135" spans="1:5" x14ac:dyDescent="0.2">
      <c r="A135">
        <v>36</v>
      </c>
      <c r="B135" t="s">
        <v>52</v>
      </c>
      <c r="C135">
        <f>C134+1</f>
        <v>2</v>
      </c>
      <c r="D135" s="40">
        <v>0</v>
      </c>
      <c r="E135">
        <v>8.0000000000000002E-3</v>
      </c>
    </row>
    <row r="136" spans="1:5" x14ac:dyDescent="0.2">
      <c r="A136">
        <v>36</v>
      </c>
      <c r="B136" t="s">
        <v>52</v>
      </c>
      <c r="C136">
        <f t="shared" ref="C136:C169" si="2">C135+1</f>
        <v>3</v>
      </c>
      <c r="D136" s="40">
        <v>5.8222957553500003E-3</v>
      </c>
      <c r="E136">
        <v>8.0000000000000002E-3</v>
      </c>
    </row>
    <row r="137" spans="1:5" x14ac:dyDescent="0.2">
      <c r="A137">
        <v>36</v>
      </c>
      <c r="B137" t="s">
        <v>52</v>
      </c>
      <c r="C137">
        <f t="shared" si="2"/>
        <v>4</v>
      </c>
      <c r="D137" s="40">
        <v>5.5232747052899999E-3</v>
      </c>
      <c r="E137">
        <v>0.01</v>
      </c>
    </row>
    <row r="138" spans="1:5" x14ac:dyDescent="0.2">
      <c r="A138">
        <v>36</v>
      </c>
      <c r="B138" t="s">
        <v>52</v>
      </c>
      <c r="C138">
        <f t="shared" si="2"/>
        <v>5</v>
      </c>
      <c r="D138" s="40">
        <v>4.7893870892399999E-3</v>
      </c>
      <c r="E138">
        <v>4.0000000000000001E-3</v>
      </c>
    </row>
    <row r="139" spans="1:5" x14ac:dyDescent="0.2">
      <c r="A139">
        <v>36</v>
      </c>
      <c r="B139" t="s">
        <v>52</v>
      </c>
      <c r="C139">
        <f t="shared" si="2"/>
        <v>6</v>
      </c>
      <c r="D139" s="40">
        <v>4.1536562544700001E-3</v>
      </c>
      <c r="E139">
        <v>5.0000000000000001E-3</v>
      </c>
    </row>
    <row r="140" spans="1:5" x14ac:dyDescent="0.2">
      <c r="A140">
        <v>36</v>
      </c>
      <c r="B140" t="s">
        <v>52</v>
      </c>
      <c r="C140">
        <f t="shared" si="2"/>
        <v>7</v>
      </c>
      <c r="D140" s="40">
        <v>3.6375567887499999E-3</v>
      </c>
      <c r="E140">
        <v>7.0000000000000001E-3</v>
      </c>
    </row>
    <row r="141" spans="1:5" x14ac:dyDescent="0.2">
      <c r="A141">
        <v>36</v>
      </c>
      <c r="B141" t="s">
        <v>52</v>
      </c>
      <c r="C141">
        <f t="shared" si="2"/>
        <v>8</v>
      </c>
      <c r="D141" s="40">
        <v>3.2184178236399998E-3</v>
      </c>
      <c r="E141">
        <v>5.0000000000000001E-3</v>
      </c>
    </row>
    <row r="142" spans="1:5" x14ac:dyDescent="0.2">
      <c r="A142">
        <v>36</v>
      </c>
      <c r="B142" t="s">
        <v>52</v>
      </c>
      <c r="C142">
        <f t="shared" si="2"/>
        <v>9</v>
      </c>
      <c r="D142" s="40">
        <v>2.8739615916199999E-3</v>
      </c>
      <c r="E142">
        <v>8.0000000000000002E-3</v>
      </c>
    </row>
    <row r="143" spans="1:5" x14ac:dyDescent="0.2">
      <c r="A143">
        <v>36</v>
      </c>
      <c r="B143" t="s">
        <v>52</v>
      </c>
      <c r="C143">
        <f t="shared" si="2"/>
        <v>10</v>
      </c>
      <c r="D143" s="40">
        <v>2.5870504769499999E-3</v>
      </c>
      <c r="E143">
        <v>6.0000000000000001E-3</v>
      </c>
    </row>
    <row r="144" spans="1:5" x14ac:dyDescent="0.2">
      <c r="A144">
        <v>36</v>
      </c>
      <c r="B144" t="s">
        <v>52</v>
      </c>
      <c r="C144">
        <f t="shared" si="2"/>
        <v>11</v>
      </c>
      <c r="D144" s="40">
        <v>2.3450243167300001E-3</v>
      </c>
      <c r="E144">
        <v>5.0000000000000001E-3</v>
      </c>
    </row>
    <row r="145" spans="1:5" x14ac:dyDescent="0.2">
      <c r="A145">
        <v>36</v>
      </c>
      <c r="B145" t="s">
        <v>52</v>
      </c>
      <c r="C145">
        <f t="shared" si="2"/>
        <v>12</v>
      </c>
      <c r="D145" s="40">
        <v>2.1385255629700001E-3</v>
      </c>
      <c r="E145">
        <v>8.0000000000000002E-3</v>
      </c>
    </row>
    <row r="146" spans="1:5" x14ac:dyDescent="0.2">
      <c r="A146">
        <v>36</v>
      </c>
      <c r="B146" t="s">
        <v>52</v>
      </c>
      <c r="C146">
        <f t="shared" si="2"/>
        <v>13</v>
      </c>
      <c r="D146" s="40">
        <v>1.9605552462199998E-3</v>
      </c>
      <c r="E146">
        <v>5.0000000000000001E-3</v>
      </c>
    </row>
    <row r="147" spans="1:5" x14ac:dyDescent="0.2">
      <c r="A147">
        <v>36</v>
      </c>
      <c r="B147" t="s">
        <v>52</v>
      </c>
      <c r="C147">
        <f t="shared" si="2"/>
        <v>14</v>
      </c>
      <c r="D147" s="40">
        <v>1.8058002801E-3</v>
      </c>
      <c r="E147">
        <v>7.0000000000000001E-3</v>
      </c>
    </row>
    <row r="148" spans="1:5" x14ac:dyDescent="0.2">
      <c r="A148">
        <v>36</v>
      </c>
      <c r="B148" t="s">
        <v>52</v>
      </c>
      <c r="C148">
        <f t="shared" si="2"/>
        <v>15</v>
      </c>
      <c r="D148" s="40">
        <v>1.6701663288000001E-3</v>
      </c>
      <c r="E148">
        <v>5.0000000000000001E-3</v>
      </c>
    </row>
    <row r="149" spans="1:5" x14ac:dyDescent="0.2">
      <c r="A149">
        <v>36</v>
      </c>
      <c r="B149" t="s">
        <v>52</v>
      </c>
      <c r="C149">
        <f t="shared" si="2"/>
        <v>16</v>
      </c>
      <c r="D149" s="40">
        <v>1.5504529850000001E-3</v>
      </c>
      <c r="E149">
        <v>4.0000000000000001E-3</v>
      </c>
    </row>
    <row r="150" spans="1:5" x14ac:dyDescent="0.2">
      <c r="A150">
        <v>36</v>
      </c>
      <c r="B150" t="s">
        <v>52</v>
      </c>
      <c r="C150">
        <f t="shared" si="2"/>
        <v>17</v>
      </c>
      <c r="D150" s="40">
        <v>1.4441254610499999E-3</v>
      </c>
      <c r="E150">
        <v>8.9999999999999993E-3</v>
      </c>
    </row>
    <row r="151" spans="1:5" x14ac:dyDescent="0.2">
      <c r="A151">
        <v>36</v>
      </c>
      <c r="B151" t="s">
        <v>52</v>
      </c>
      <c r="C151">
        <f t="shared" si="2"/>
        <v>18</v>
      </c>
      <c r="D151" s="40">
        <v>1.3491518553600001E-3</v>
      </c>
      <c r="E151">
        <v>4.0000000000000001E-3</v>
      </c>
    </row>
    <row r="152" spans="1:5" x14ac:dyDescent="0.2">
      <c r="A152">
        <v>36</v>
      </c>
      <c r="B152" t="s">
        <v>52</v>
      </c>
      <c r="C152">
        <f t="shared" si="2"/>
        <v>19</v>
      </c>
      <c r="D152" s="40">
        <v>1.2638854334700001E-3</v>
      </c>
      <c r="E152">
        <v>8.0000000000000002E-3</v>
      </c>
    </row>
    <row r="153" spans="1:5" x14ac:dyDescent="0.2">
      <c r="A153">
        <v>36</v>
      </c>
      <c r="B153" t="s">
        <v>52</v>
      </c>
      <c r="C153">
        <f t="shared" si="2"/>
        <v>20</v>
      </c>
      <c r="D153" s="40">
        <v>1.18697822723E-3</v>
      </c>
      <c r="E153">
        <v>7.0000000000000001E-3</v>
      </c>
    </row>
    <row r="154" spans="1:5" x14ac:dyDescent="0.2">
      <c r="A154">
        <v>36</v>
      </c>
      <c r="B154" t="s">
        <v>52</v>
      </c>
      <c r="C154">
        <f t="shared" si="2"/>
        <v>21</v>
      </c>
      <c r="D154" s="40">
        <v>1.1173167381199999E-3</v>
      </c>
      <c r="E154">
        <v>5.0000000000000001E-3</v>
      </c>
    </row>
    <row r="155" spans="1:5" x14ac:dyDescent="0.2">
      <c r="A155">
        <v>36</v>
      </c>
      <c r="B155" t="s">
        <v>52</v>
      </c>
      <c r="C155">
        <f t="shared" si="2"/>
        <v>22</v>
      </c>
      <c r="D155" s="40">
        <v>1.0539734658000001E-3</v>
      </c>
      <c r="E155">
        <v>6.0000000000000001E-3</v>
      </c>
    </row>
    <row r="156" spans="1:5" x14ac:dyDescent="0.2">
      <c r="A156">
        <v>36</v>
      </c>
      <c r="B156" t="s">
        <v>52</v>
      </c>
      <c r="C156">
        <f t="shared" si="2"/>
        <v>23</v>
      </c>
      <c r="D156" s="40">
        <v>9.9616992311400004E-4</v>
      </c>
      <c r="E156">
        <v>0.01</v>
      </c>
    </row>
    <row r="157" spans="1:5" x14ac:dyDescent="0.2">
      <c r="A157">
        <v>36</v>
      </c>
      <c r="B157" t="s">
        <v>52</v>
      </c>
      <c r="C157">
        <f t="shared" si="2"/>
        <v>24</v>
      </c>
      <c r="D157" s="40">
        <v>9.4324809787800002E-4</v>
      </c>
      <c r="E157">
        <v>0.01</v>
      </c>
    </row>
    <row r="158" spans="1:5" x14ac:dyDescent="0.2">
      <c r="A158">
        <v>36</v>
      </c>
      <c r="B158" t="s">
        <v>52</v>
      </c>
      <c r="C158">
        <f t="shared" si="2"/>
        <v>25</v>
      </c>
      <c r="D158" s="40">
        <v>8.9464820228899995E-4</v>
      </c>
      <c r="E158">
        <v>5.0000000000000001E-3</v>
      </c>
    </row>
    <row r="159" spans="1:5" x14ac:dyDescent="0.2">
      <c r="A159">
        <v>36</v>
      </c>
      <c r="B159" t="s">
        <v>52</v>
      </c>
      <c r="C159">
        <f t="shared" si="2"/>
        <v>26</v>
      </c>
      <c r="D159" s="40">
        <v>8.4989115676099999E-4</v>
      </c>
      <c r="E159">
        <v>8.9999999999999993E-3</v>
      </c>
    </row>
    <row r="160" spans="1:5" x14ac:dyDescent="0.2">
      <c r="A160">
        <v>36</v>
      </c>
      <c r="B160" t="s">
        <v>52</v>
      </c>
      <c r="C160">
        <f t="shared" si="2"/>
        <v>27</v>
      </c>
      <c r="D160" s="40">
        <v>8.08564676847E-4</v>
      </c>
      <c r="E160">
        <v>4.0000000000000001E-3</v>
      </c>
    </row>
    <row r="161" spans="1:5" x14ac:dyDescent="0.2">
      <c r="A161">
        <v>36</v>
      </c>
      <c r="B161" t="s">
        <v>52</v>
      </c>
      <c r="C161">
        <f t="shared" si="2"/>
        <v>28</v>
      </c>
      <c r="D161" s="40">
        <v>7.7031212977600005E-4</v>
      </c>
      <c r="E161">
        <v>7.0000000000000001E-3</v>
      </c>
    </row>
    <row r="162" spans="1:5" x14ac:dyDescent="0.2">
      <c r="A162">
        <v>36</v>
      </c>
      <c r="B162" t="s">
        <v>52</v>
      </c>
      <c r="C162">
        <f t="shared" si="2"/>
        <v>29</v>
      </c>
      <c r="D162" s="40">
        <v>7.3482353981700003E-4</v>
      </c>
      <c r="E162">
        <v>4.0000000000000001E-3</v>
      </c>
    </row>
    <row r="163" spans="1:5" x14ac:dyDescent="0.2">
      <c r="A163">
        <v>36</v>
      </c>
      <c r="B163" t="s">
        <v>52</v>
      </c>
      <c r="C163">
        <f t="shared" si="2"/>
        <v>30</v>
      </c>
      <c r="D163" s="40">
        <v>7.0182827542500002E-4</v>
      </c>
      <c r="E163">
        <v>0.01</v>
      </c>
    </row>
    <row r="164" spans="1:5" x14ac:dyDescent="0.2">
      <c r="A164">
        <v>36</v>
      </c>
      <c r="B164" t="s">
        <v>52</v>
      </c>
      <c r="C164">
        <f t="shared" si="2"/>
        <v>31</v>
      </c>
      <c r="D164" s="40">
        <v>6.71089063371E-4</v>
      </c>
      <c r="E164">
        <v>4.0000000000000001E-3</v>
      </c>
    </row>
    <row r="165" spans="1:5" x14ac:dyDescent="0.2">
      <c r="A165">
        <v>36</v>
      </c>
      <c r="B165" t="s">
        <v>52</v>
      </c>
      <c r="C165">
        <f t="shared" si="2"/>
        <v>32</v>
      </c>
      <c r="D165" s="40">
        <v>6.4239705794499999E-4</v>
      </c>
      <c r="E165">
        <v>8.0000000000000002E-3</v>
      </c>
    </row>
    <row r="166" spans="1:5" x14ac:dyDescent="0.2">
      <c r="A166">
        <v>36</v>
      </c>
      <c r="B166" t="s">
        <v>52</v>
      </c>
      <c r="C166">
        <f t="shared" si="2"/>
        <v>33</v>
      </c>
      <c r="D166" s="40">
        <v>6.1556775507000004E-4</v>
      </c>
      <c r="E166">
        <v>8.9999999999999993E-3</v>
      </c>
    </row>
    <row r="167" spans="1:5" x14ac:dyDescent="0.2">
      <c r="A167">
        <v>36</v>
      </c>
      <c r="B167" t="s">
        <v>52</v>
      </c>
      <c r="C167">
        <f t="shared" si="2"/>
        <v>34</v>
      </c>
      <c r="D167" s="40">
        <v>5.9043758757299999E-4</v>
      </c>
      <c r="E167">
        <v>6.0000000000000001E-3</v>
      </c>
    </row>
    <row r="168" spans="1:5" x14ac:dyDescent="0.2">
      <c r="A168">
        <v>36</v>
      </c>
      <c r="B168" t="s">
        <v>52</v>
      </c>
      <c r="C168">
        <f t="shared" si="2"/>
        <v>35</v>
      </c>
      <c r="D168" s="40">
        <v>5.6686107311999996E-4</v>
      </c>
      <c r="E168">
        <v>6.0000000000000001E-3</v>
      </c>
    </row>
    <row r="169" spans="1:5" x14ac:dyDescent="0.2">
      <c r="A169">
        <v>36</v>
      </c>
      <c r="B169" t="s">
        <v>52</v>
      </c>
      <c r="C169">
        <f t="shared" si="2"/>
        <v>36</v>
      </c>
      <c r="D169" s="40">
        <v>5.4470841321699998E-4</v>
      </c>
      <c r="E169">
        <v>7.0000000000000001E-3</v>
      </c>
    </row>
    <row r="170" spans="1:5" x14ac:dyDescent="0.2">
      <c r="A170">
        <v>36</v>
      </c>
      <c r="B170" t="s">
        <v>53</v>
      </c>
      <c r="C170">
        <v>1</v>
      </c>
      <c r="D170" s="40">
        <v>0</v>
      </c>
      <c r="E170">
        <v>8.0000000000000002E-3</v>
      </c>
    </row>
    <row r="171" spans="1:5" x14ac:dyDescent="0.2">
      <c r="A171">
        <v>36</v>
      </c>
      <c r="B171" t="s">
        <v>53</v>
      </c>
      <c r="C171">
        <f>C170+1</f>
        <v>2</v>
      </c>
      <c r="D171" s="40">
        <v>0</v>
      </c>
      <c r="E171">
        <v>5.0000000000000001E-3</v>
      </c>
    </row>
    <row r="172" spans="1:5" x14ac:dyDescent="0.2">
      <c r="A172">
        <v>36</v>
      </c>
      <c r="B172" t="s">
        <v>53</v>
      </c>
      <c r="C172">
        <f t="shared" ref="C172:C205" si="3">C171+1</f>
        <v>3</v>
      </c>
      <c r="D172" s="40">
        <v>0</v>
      </c>
      <c r="E172">
        <v>7.0000000000000001E-3</v>
      </c>
    </row>
    <row r="173" spans="1:5" x14ac:dyDescent="0.2">
      <c r="A173">
        <v>36</v>
      </c>
      <c r="B173" t="s">
        <v>53</v>
      </c>
      <c r="C173">
        <f t="shared" si="3"/>
        <v>4</v>
      </c>
      <c r="D173" s="40">
        <v>1.1531993183E-4</v>
      </c>
      <c r="E173">
        <v>5.0000000000000001E-3</v>
      </c>
    </row>
    <row r="174" spans="1:5" x14ac:dyDescent="0.2">
      <c r="A174">
        <v>36</v>
      </c>
      <c r="B174" t="s">
        <v>53</v>
      </c>
      <c r="C174">
        <f t="shared" si="3"/>
        <v>5</v>
      </c>
      <c r="D174" s="40">
        <v>1.8976690788499999E-3</v>
      </c>
      <c r="E174">
        <v>4.0000000000000001E-3</v>
      </c>
    </row>
    <row r="175" spans="1:5" x14ac:dyDescent="0.2">
      <c r="A175">
        <v>36</v>
      </c>
      <c r="B175" t="s">
        <v>53</v>
      </c>
      <c r="C175">
        <f t="shared" si="3"/>
        <v>6</v>
      </c>
      <c r="D175" s="40">
        <v>4.2277823787600002E-3</v>
      </c>
      <c r="E175">
        <v>8.9999999999999993E-3</v>
      </c>
    </row>
    <row r="176" spans="1:5" x14ac:dyDescent="0.2">
      <c r="A176">
        <v>36</v>
      </c>
      <c r="B176" t="s">
        <v>53</v>
      </c>
      <c r="C176">
        <f t="shared" si="3"/>
        <v>7</v>
      </c>
      <c r="D176" s="40">
        <v>5.7689302634E-3</v>
      </c>
      <c r="E176">
        <v>4.0000000000000001E-3</v>
      </c>
    </row>
    <row r="177" spans="1:5" x14ac:dyDescent="0.2">
      <c r="A177">
        <v>36</v>
      </c>
      <c r="B177" t="s">
        <v>53</v>
      </c>
      <c r="C177">
        <f t="shared" si="3"/>
        <v>8</v>
      </c>
      <c r="D177" s="40">
        <v>6.4577823458599999E-3</v>
      </c>
      <c r="E177">
        <v>8.0000000000000002E-3</v>
      </c>
    </row>
    <row r="178" spans="1:5" x14ac:dyDescent="0.2">
      <c r="A178">
        <v>36</v>
      </c>
      <c r="B178" t="s">
        <v>53</v>
      </c>
      <c r="C178">
        <f t="shared" si="3"/>
        <v>9</v>
      </c>
      <c r="D178" s="40">
        <v>6.5532898900000002E-3</v>
      </c>
      <c r="E178">
        <v>7.0000000000000001E-3</v>
      </c>
    </row>
    <row r="179" spans="1:5" x14ac:dyDescent="0.2">
      <c r="A179">
        <v>36</v>
      </c>
      <c r="B179" t="s">
        <v>53</v>
      </c>
      <c r="C179">
        <f t="shared" si="3"/>
        <v>10</v>
      </c>
      <c r="D179" s="40">
        <v>6.2983864955400001E-3</v>
      </c>
      <c r="E179">
        <v>5.0000000000000001E-3</v>
      </c>
    </row>
    <row r="180" spans="1:5" x14ac:dyDescent="0.2">
      <c r="A180">
        <v>36</v>
      </c>
      <c r="B180" t="s">
        <v>53</v>
      </c>
      <c r="C180">
        <f t="shared" si="3"/>
        <v>11</v>
      </c>
      <c r="D180" s="40">
        <v>5.8615927331499996E-3</v>
      </c>
      <c r="E180">
        <v>6.0000000000000001E-3</v>
      </c>
    </row>
    <row r="181" spans="1:5" x14ac:dyDescent="0.2">
      <c r="A181">
        <v>36</v>
      </c>
      <c r="B181" t="s">
        <v>53</v>
      </c>
      <c r="C181">
        <f t="shared" si="3"/>
        <v>12</v>
      </c>
      <c r="D181" s="40">
        <v>5.3478271275799998E-3</v>
      </c>
      <c r="E181">
        <v>0.01</v>
      </c>
    </row>
    <row r="182" spans="1:5" x14ac:dyDescent="0.2">
      <c r="A182">
        <v>36</v>
      </c>
      <c r="B182" t="s">
        <v>53</v>
      </c>
      <c r="C182">
        <f t="shared" si="3"/>
        <v>13</v>
      </c>
      <c r="D182" s="40">
        <v>4.81844520285E-3</v>
      </c>
      <c r="E182">
        <v>0.01</v>
      </c>
    </row>
    <row r="183" spans="1:5" x14ac:dyDescent="0.2">
      <c r="A183">
        <v>36</v>
      </c>
      <c r="B183" t="s">
        <v>53</v>
      </c>
      <c r="C183">
        <f t="shared" si="3"/>
        <v>14</v>
      </c>
      <c r="D183" s="40">
        <v>4.3072781598700004E-3</v>
      </c>
      <c r="E183">
        <v>5.0000000000000001E-3</v>
      </c>
    </row>
    <row r="184" spans="1:5" x14ac:dyDescent="0.2">
      <c r="A184">
        <v>36</v>
      </c>
      <c r="B184" t="s">
        <v>53</v>
      </c>
      <c r="C184">
        <f t="shared" si="3"/>
        <v>15</v>
      </c>
      <c r="D184" s="40">
        <v>3.8314605363700001E-3</v>
      </c>
      <c r="E184">
        <v>8.9999999999999993E-3</v>
      </c>
    </row>
    <row r="185" spans="1:5" x14ac:dyDescent="0.2">
      <c r="A185">
        <v>36</v>
      </c>
      <c r="B185" t="s">
        <v>53</v>
      </c>
      <c r="C185">
        <f t="shared" si="3"/>
        <v>16</v>
      </c>
      <c r="D185" s="40">
        <v>3.3982875296499999E-3</v>
      </c>
      <c r="E185">
        <v>4.0000000000000001E-3</v>
      </c>
    </row>
    <row r="186" spans="1:5" x14ac:dyDescent="0.2">
      <c r="A186">
        <v>36</v>
      </c>
      <c r="B186" t="s">
        <v>53</v>
      </c>
      <c r="C186">
        <f t="shared" si="3"/>
        <v>17</v>
      </c>
      <c r="D186" s="40">
        <v>3.00942994594E-3</v>
      </c>
      <c r="E186">
        <v>7.0000000000000001E-3</v>
      </c>
    </row>
    <row r="187" spans="1:5" x14ac:dyDescent="0.2">
      <c r="A187">
        <v>36</v>
      </c>
      <c r="B187" t="s">
        <v>53</v>
      </c>
      <c r="C187">
        <f t="shared" si="3"/>
        <v>18</v>
      </c>
      <c r="D187" s="40">
        <v>2.6634802245100002E-3</v>
      </c>
      <c r="E187">
        <v>4.0000000000000001E-3</v>
      </c>
    </row>
    <row r="188" spans="1:5" x14ac:dyDescent="0.2">
      <c r="A188">
        <v>36</v>
      </c>
      <c r="B188" t="s">
        <v>53</v>
      </c>
      <c r="C188">
        <f t="shared" si="3"/>
        <v>19</v>
      </c>
      <c r="D188" s="40">
        <v>2.35746871016E-3</v>
      </c>
      <c r="E188">
        <v>0.01</v>
      </c>
    </row>
    <row r="189" spans="1:5" x14ac:dyDescent="0.2">
      <c r="A189">
        <v>36</v>
      </c>
      <c r="B189" t="s">
        <v>53</v>
      </c>
      <c r="C189">
        <f t="shared" si="3"/>
        <v>20</v>
      </c>
      <c r="D189" s="40">
        <v>2.0877518740700001E-3</v>
      </c>
      <c r="E189">
        <v>4.0000000000000001E-3</v>
      </c>
    </row>
    <row r="190" spans="1:5" x14ac:dyDescent="0.2">
      <c r="A190">
        <v>36</v>
      </c>
      <c r="B190" t="s">
        <v>53</v>
      </c>
      <c r="C190">
        <f t="shared" si="3"/>
        <v>21</v>
      </c>
      <c r="D190" s="40">
        <v>1.85052020062E-3</v>
      </c>
      <c r="E190">
        <v>8.0000000000000002E-3</v>
      </c>
    </row>
    <row r="191" spans="1:5" x14ac:dyDescent="0.2">
      <c r="A191">
        <v>36</v>
      </c>
      <c r="B191" t="s">
        <v>53</v>
      </c>
      <c r="C191">
        <f t="shared" si="3"/>
        <v>22</v>
      </c>
      <c r="D191" s="40">
        <v>1.64207726263E-3</v>
      </c>
      <c r="E191">
        <v>8.9999999999999993E-3</v>
      </c>
    </row>
    <row r="192" spans="1:5" x14ac:dyDescent="0.2">
      <c r="A192">
        <v>36</v>
      </c>
      <c r="B192" t="s">
        <v>53</v>
      </c>
      <c r="C192">
        <f t="shared" si="3"/>
        <v>23</v>
      </c>
      <c r="D192" s="40">
        <v>1.4589823491599999E-3</v>
      </c>
      <c r="E192">
        <v>6.0000000000000001E-3</v>
      </c>
    </row>
    <row r="193" spans="1:5" x14ac:dyDescent="0.2">
      <c r="A193">
        <v>36</v>
      </c>
      <c r="B193" t="s">
        <v>53</v>
      </c>
      <c r="C193">
        <f t="shared" si="3"/>
        <v>24</v>
      </c>
      <c r="D193" s="40">
        <v>1.29811284307E-3</v>
      </c>
      <c r="E193">
        <v>6.0000000000000001E-3</v>
      </c>
    </row>
    <row r="194" spans="1:5" x14ac:dyDescent="0.2">
      <c r="A194">
        <v>36</v>
      </c>
      <c r="B194" t="s">
        <v>53</v>
      </c>
      <c r="C194">
        <f t="shared" si="3"/>
        <v>25</v>
      </c>
      <c r="D194" s="40">
        <v>1.1566804624499999E-3</v>
      </c>
      <c r="E194">
        <v>7.0000000000000001E-3</v>
      </c>
    </row>
    <row r="195" spans="1:5" x14ac:dyDescent="0.2">
      <c r="A195">
        <v>36</v>
      </c>
      <c r="B195" t="s">
        <v>53</v>
      </c>
      <c r="C195">
        <f t="shared" si="3"/>
        <v>26</v>
      </c>
      <c r="D195" s="40">
        <v>1.0322219871199999E-3</v>
      </c>
      <c r="E195">
        <v>5.0000000000000001E-3</v>
      </c>
    </row>
    <row r="196" spans="1:5" x14ac:dyDescent="0.2">
      <c r="A196">
        <v>36</v>
      </c>
      <c r="B196" t="s">
        <v>53</v>
      </c>
      <c r="C196">
        <f t="shared" si="3"/>
        <v>27</v>
      </c>
      <c r="D196" s="40">
        <v>9.2257683937299996E-4</v>
      </c>
      <c r="E196">
        <v>4.0000000000000001E-3</v>
      </c>
    </row>
    <row r="197" spans="1:5" x14ac:dyDescent="0.2">
      <c r="A197">
        <v>36</v>
      </c>
      <c r="B197" t="s">
        <v>53</v>
      </c>
      <c r="C197">
        <f t="shared" si="3"/>
        <v>28</v>
      </c>
      <c r="D197" s="40">
        <v>8.2585883900100003E-4</v>
      </c>
      <c r="E197">
        <v>8.9999999999999993E-3</v>
      </c>
    </row>
    <row r="198" spans="1:5" x14ac:dyDescent="0.2">
      <c r="A198">
        <v>36</v>
      </c>
      <c r="B198" t="s">
        <v>53</v>
      </c>
      <c r="C198">
        <f t="shared" si="3"/>
        <v>29</v>
      </c>
      <c r="D198" s="40">
        <v>7.4042636831899995E-4</v>
      </c>
      <c r="E198">
        <v>4.0000000000000001E-3</v>
      </c>
    </row>
    <row r="199" spans="1:5" x14ac:dyDescent="0.2">
      <c r="A199">
        <v>36</v>
      </c>
      <c r="B199" t="s">
        <v>53</v>
      </c>
      <c r="C199">
        <f t="shared" si="3"/>
        <v>30</v>
      </c>
      <c r="D199" s="40">
        <v>6.6485330530799999E-4</v>
      </c>
      <c r="E199">
        <v>8.0000000000000002E-3</v>
      </c>
    </row>
    <row r="200" spans="1:5" x14ac:dyDescent="0.2">
      <c r="A200">
        <v>36</v>
      </c>
      <c r="B200" t="s">
        <v>53</v>
      </c>
      <c r="C200">
        <f t="shared" si="3"/>
        <v>31</v>
      </c>
      <c r="D200" s="40">
        <v>5.9790194972599996E-4</v>
      </c>
      <c r="E200">
        <v>7.0000000000000001E-3</v>
      </c>
    </row>
    <row r="201" spans="1:5" x14ac:dyDescent="0.2">
      <c r="A201">
        <v>36</v>
      </c>
      <c r="B201" t="s">
        <v>53</v>
      </c>
      <c r="C201">
        <f t="shared" si="3"/>
        <v>32</v>
      </c>
      <c r="D201" s="40">
        <v>5.3849849177199996E-4</v>
      </c>
      <c r="E201">
        <v>5.0000000000000001E-3</v>
      </c>
    </row>
    <row r="202" spans="1:5" x14ac:dyDescent="0.2">
      <c r="A202">
        <v>36</v>
      </c>
      <c r="B202" t="s">
        <v>53</v>
      </c>
      <c r="C202">
        <f t="shared" si="3"/>
        <v>33</v>
      </c>
      <c r="D202" s="40">
        <v>4.8571117978499998E-4</v>
      </c>
      <c r="E202">
        <v>6.0000000000000001E-3</v>
      </c>
    </row>
    <row r="203" spans="1:5" x14ac:dyDescent="0.2">
      <c r="A203">
        <v>36</v>
      </c>
      <c r="B203" t="s">
        <v>53</v>
      </c>
      <c r="C203">
        <f t="shared" si="3"/>
        <v>34</v>
      </c>
      <c r="D203" s="40">
        <v>4.3873112315E-4</v>
      </c>
      <c r="E203">
        <v>8.0000000000000002E-3</v>
      </c>
    </row>
    <row r="204" spans="1:5" x14ac:dyDescent="0.2">
      <c r="A204">
        <v>36</v>
      </c>
      <c r="B204" t="s">
        <v>53</v>
      </c>
      <c r="C204">
        <f t="shared" si="3"/>
        <v>35</v>
      </c>
      <c r="D204" s="40">
        <v>3.9685555127700001E-4</v>
      </c>
      <c r="E204">
        <v>7.0000000000000001E-3</v>
      </c>
    </row>
    <row r="205" spans="1:5" x14ac:dyDescent="0.2">
      <c r="A205">
        <v>36</v>
      </c>
      <c r="B205" t="s">
        <v>53</v>
      </c>
      <c r="C205">
        <f t="shared" si="3"/>
        <v>36</v>
      </c>
      <c r="D205" s="40">
        <v>3.5947329719400001E-4</v>
      </c>
      <c r="E205">
        <v>5.0000000000000001E-3</v>
      </c>
    </row>
    <row r="206" spans="1:5" x14ac:dyDescent="0.2">
      <c r="A206">
        <v>36</v>
      </c>
      <c r="B206" t="s">
        <v>54</v>
      </c>
      <c r="C206">
        <v>1</v>
      </c>
      <c r="D206" s="40">
        <v>0</v>
      </c>
      <c r="E206">
        <v>5.0000000000000001E-3</v>
      </c>
    </row>
    <row r="207" spans="1:5" x14ac:dyDescent="0.2">
      <c r="A207">
        <v>36</v>
      </c>
      <c r="B207" t="s">
        <v>54</v>
      </c>
      <c r="C207">
        <f>C206+1</f>
        <v>2</v>
      </c>
      <c r="D207" s="40">
        <v>0</v>
      </c>
      <c r="E207">
        <v>8.0000000000000002E-3</v>
      </c>
    </row>
    <row r="208" spans="1:5" x14ac:dyDescent="0.2">
      <c r="A208">
        <v>36</v>
      </c>
      <c r="B208" t="s">
        <v>54</v>
      </c>
      <c r="C208">
        <f t="shared" ref="C208:C241" si="4">C207+1</f>
        <v>3</v>
      </c>
      <c r="D208" s="40">
        <v>2.45470037277E-6</v>
      </c>
      <c r="E208">
        <v>6.0000000000000001E-3</v>
      </c>
    </row>
    <row r="209" spans="1:5" x14ac:dyDescent="0.2">
      <c r="A209">
        <v>36</v>
      </c>
      <c r="B209" t="s">
        <v>54</v>
      </c>
      <c r="C209">
        <f t="shared" si="4"/>
        <v>4</v>
      </c>
      <c r="D209" s="40">
        <v>2.15733748001E-4</v>
      </c>
      <c r="E209">
        <v>5.0000000000000001E-3</v>
      </c>
    </row>
    <row r="210" spans="1:5" x14ac:dyDescent="0.2">
      <c r="A210">
        <v>36</v>
      </c>
      <c r="B210" t="s">
        <v>54</v>
      </c>
      <c r="C210">
        <f t="shared" si="4"/>
        <v>5</v>
      </c>
      <c r="D210" s="40">
        <v>1.16659092595E-3</v>
      </c>
      <c r="E210">
        <v>8.0000000000000002E-3</v>
      </c>
    </row>
    <row r="211" spans="1:5" x14ac:dyDescent="0.2">
      <c r="A211">
        <v>36</v>
      </c>
      <c r="B211" t="s">
        <v>54</v>
      </c>
      <c r="C211">
        <f t="shared" si="4"/>
        <v>6</v>
      </c>
      <c r="D211" s="40">
        <v>2.6904367213199999E-3</v>
      </c>
      <c r="E211">
        <v>5.0000000000000001E-3</v>
      </c>
    </row>
    <row r="212" spans="1:5" x14ac:dyDescent="0.2">
      <c r="A212">
        <v>36</v>
      </c>
      <c r="B212" t="s">
        <v>54</v>
      </c>
      <c r="C212">
        <f t="shared" si="4"/>
        <v>7</v>
      </c>
      <c r="D212" s="40">
        <v>4.2291717057299999E-3</v>
      </c>
      <c r="E212">
        <v>7.0000000000000001E-3</v>
      </c>
    </row>
    <row r="213" spans="1:5" x14ac:dyDescent="0.2">
      <c r="A213">
        <v>36</v>
      </c>
      <c r="B213" t="s">
        <v>54</v>
      </c>
      <c r="C213">
        <f t="shared" si="4"/>
        <v>8</v>
      </c>
      <c r="D213" s="40">
        <v>5.4095916729799999E-3</v>
      </c>
      <c r="E213">
        <v>5.0000000000000001E-3</v>
      </c>
    </row>
    <row r="214" spans="1:5" x14ac:dyDescent="0.2">
      <c r="A214">
        <v>36</v>
      </c>
      <c r="B214" t="s">
        <v>54</v>
      </c>
      <c r="C214">
        <f t="shared" si="4"/>
        <v>9</v>
      </c>
      <c r="D214" s="40">
        <v>6.1181078632100002E-3</v>
      </c>
      <c r="E214">
        <v>4.0000000000000001E-3</v>
      </c>
    </row>
    <row r="215" spans="1:5" x14ac:dyDescent="0.2">
      <c r="A215">
        <v>36</v>
      </c>
      <c r="B215" t="s">
        <v>54</v>
      </c>
      <c r="C215">
        <f t="shared" si="4"/>
        <v>10</v>
      </c>
      <c r="D215" s="40">
        <v>6.3956511989699998E-3</v>
      </c>
      <c r="E215">
        <v>8.9999999999999993E-3</v>
      </c>
    </row>
    <row r="216" spans="1:5" x14ac:dyDescent="0.2">
      <c r="A216">
        <v>36</v>
      </c>
      <c r="B216" t="s">
        <v>54</v>
      </c>
      <c r="C216">
        <f t="shared" si="4"/>
        <v>11</v>
      </c>
      <c r="D216" s="40">
        <v>6.3419406131600001E-3</v>
      </c>
      <c r="E216">
        <v>4.0000000000000001E-3</v>
      </c>
    </row>
    <row r="217" spans="1:5" x14ac:dyDescent="0.2">
      <c r="A217">
        <v>36</v>
      </c>
      <c r="B217" t="s">
        <v>54</v>
      </c>
      <c r="C217">
        <f t="shared" si="4"/>
        <v>12</v>
      </c>
      <c r="D217" s="40">
        <v>6.0623347571599996E-3</v>
      </c>
      <c r="E217">
        <v>8.0000000000000002E-3</v>
      </c>
    </row>
    <row r="218" spans="1:5" x14ac:dyDescent="0.2">
      <c r="A218">
        <v>36</v>
      </c>
      <c r="B218" t="s">
        <v>54</v>
      </c>
      <c r="C218">
        <f t="shared" si="4"/>
        <v>13</v>
      </c>
      <c r="D218" s="40">
        <v>5.6457759363499997E-3</v>
      </c>
      <c r="E218">
        <v>7.0000000000000001E-3</v>
      </c>
    </row>
    <row r="219" spans="1:5" x14ac:dyDescent="0.2">
      <c r="A219">
        <v>36</v>
      </c>
      <c r="B219" t="s">
        <v>54</v>
      </c>
      <c r="C219">
        <f t="shared" si="4"/>
        <v>14</v>
      </c>
      <c r="D219" s="40">
        <v>5.1592885770600002E-3</v>
      </c>
      <c r="E219">
        <v>5.0000000000000001E-3</v>
      </c>
    </row>
    <row r="220" spans="1:5" x14ac:dyDescent="0.2">
      <c r="A220">
        <v>36</v>
      </c>
      <c r="B220" t="s">
        <v>54</v>
      </c>
      <c r="C220">
        <f t="shared" si="4"/>
        <v>15</v>
      </c>
      <c r="D220" s="40">
        <v>4.6496733756499998E-3</v>
      </c>
      <c r="E220">
        <v>6.0000000000000001E-3</v>
      </c>
    </row>
    <row r="221" spans="1:5" x14ac:dyDescent="0.2">
      <c r="A221">
        <v>36</v>
      </c>
      <c r="B221" t="s">
        <v>54</v>
      </c>
      <c r="C221">
        <f t="shared" si="4"/>
        <v>16</v>
      </c>
      <c r="D221" s="40">
        <v>4.1475422787000003E-3</v>
      </c>
      <c r="E221">
        <v>0.01</v>
      </c>
    </row>
    <row r="222" spans="1:5" x14ac:dyDescent="0.2">
      <c r="A222">
        <v>36</v>
      </c>
      <c r="B222" t="s">
        <v>54</v>
      </c>
      <c r="C222">
        <f t="shared" si="4"/>
        <v>17</v>
      </c>
      <c r="D222" s="40">
        <v>3.6715221920400002E-3</v>
      </c>
      <c r="E222">
        <v>0.01</v>
      </c>
    </row>
    <row r="223" spans="1:5" x14ac:dyDescent="0.2">
      <c r="A223">
        <v>36</v>
      </c>
      <c r="B223" t="s">
        <v>54</v>
      </c>
      <c r="C223">
        <f t="shared" si="4"/>
        <v>18</v>
      </c>
      <c r="D223" s="40">
        <v>3.2318238269100001E-3</v>
      </c>
      <c r="E223">
        <v>5.0000000000000001E-3</v>
      </c>
    </row>
    <row r="224" spans="1:5" x14ac:dyDescent="0.2">
      <c r="A224">
        <v>36</v>
      </c>
      <c r="B224" t="s">
        <v>54</v>
      </c>
      <c r="C224">
        <f t="shared" si="4"/>
        <v>19</v>
      </c>
      <c r="D224" s="40">
        <v>2.8329966139300001E-3</v>
      </c>
      <c r="E224">
        <v>8.9999999999999993E-3</v>
      </c>
    </row>
    <row r="225" spans="1:5" x14ac:dyDescent="0.2">
      <c r="A225">
        <v>36</v>
      </c>
      <c r="B225" t="s">
        <v>54</v>
      </c>
      <c r="C225">
        <f t="shared" si="4"/>
        <v>20</v>
      </c>
      <c r="D225" s="40">
        <v>2.4759398147599998E-3</v>
      </c>
      <c r="E225">
        <v>4.0000000000000001E-3</v>
      </c>
    </row>
    <row r="226" spans="1:5" x14ac:dyDescent="0.2">
      <c r="A226">
        <v>36</v>
      </c>
      <c r="B226" t="s">
        <v>54</v>
      </c>
      <c r="C226">
        <f t="shared" si="4"/>
        <v>21</v>
      </c>
      <c r="D226" s="40">
        <v>2.1593153926299999E-3</v>
      </c>
      <c r="E226">
        <v>7.0000000000000001E-3</v>
      </c>
    </row>
    <row r="227" spans="1:5" x14ac:dyDescent="0.2">
      <c r="A227">
        <v>36</v>
      </c>
      <c r="B227" t="s">
        <v>54</v>
      </c>
      <c r="C227">
        <f t="shared" si="4"/>
        <v>22</v>
      </c>
      <c r="D227" s="40">
        <v>1.88051078661E-3</v>
      </c>
      <c r="E227">
        <v>4.0000000000000001E-3</v>
      </c>
    </row>
    <row r="228" spans="1:5" x14ac:dyDescent="0.2">
      <c r="A228">
        <v>36</v>
      </c>
      <c r="B228" t="s">
        <v>54</v>
      </c>
      <c r="C228">
        <f t="shared" si="4"/>
        <v>23</v>
      </c>
      <c r="D228" s="40">
        <v>1.63627670754E-3</v>
      </c>
      <c r="E228">
        <v>0.01</v>
      </c>
    </row>
    <row r="229" spans="1:5" x14ac:dyDescent="0.2">
      <c r="A229">
        <v>36</v>
      </c>
      <c r="B229" t="s">
        <v>54</v>
      </c>
      <c r="C229">
        <f t="shared" si="4"/>
        <v>24</v>
      </c>
      <c r="D229" s="40">
        <v>1.4231369357600001E-3</v>
      </c>
      <c r="E229">
        <v>4.0000000000000001E-3</v>
      </c>
    </row>
    <row r="230" spans="1:5" x14ac:dyDescent="0.2">
      <c r="A230">
        <v>36</v>
      </c>
      <c r="B230" t="s">
        <v>54</v>
      </c>
      <c r="C230">
        <f t="shared" si="4"/>
        <v>25</v>
      </c>
      <c r="D230" s="40">
        <v>1.23764172601E-3</v>
      </c>
      <c r="E230">
        <v>8.0000000000000002E-3</v>
      </c>
    </row>
    <row r="231" spans="1:5" x14ac:dyDescent="0.2">
      <c r="A231">
        <v>36</v>
      </c>
      <c r="B231" t="s">
        <v>54</v>
      </c>
      <c r="C231">
        <f t="shared" si="4"/>
        <v>26</v>
      </c>
      <c r="D231" s="40">
        <v>1.0765160707500001E-3</v>
      </c>
      <c r="E231">
        <v>8.9999999999999993E-3</v>
      </c>
    </row>
    <row r="232" spans="1:5" x14ac:dyDescent="0.2">
      <c r="A232">
        <v>36</v>
      </c>
      <c r="B232" t="s">
        <v>54</v>
      </c>
      <c r="C232">
        <f t="shared" si="4"/>
        <v>27</v>
      </c>
      <c r="D232" s="40">
        <v>9.3673870780699997E-4</v>
      </c>
      <c r="E232">
        <v>6.0000000000000001E-3</v>
      </c>
    </row>
    <row r="233" spans="1:5" x14ac:dyDescent="0.2">
      <c r="A233">
        <v>36</v>
      </c>
      <c r="B233" t="s">
        <v>54</v>
      </c>
      <c r="C233">
        <f t="shared" si="4"/>
        <v>28</v>
      </c>
      <c r="D233" s="40">
        <v>8.1557657300500004E-4</v>
      </c>
      <c r="E233">
        <v>6.0000000000000001E-3</v>
      </c>
    </row>
    <row r="234" spans="1:5" x14ac:dyDescent="0.2">
      <c r="A234">
        <v>36</v>
      </c>
      <c r="B234" t="s">
        <v>54</v>
      </c>
      <c r="C234">
        <f t="shared" si="4"/>
        <v>29</v>
      </c>
      <c r="D234" s="40">
        <v>7.1059144889000004E-4</v>
      </c>
      <c r="E234">
        <v>7.0000000000000001E-3</v>
      </c>
    </row>
    <row r="235" spans="1:5" x14ac:dyDescent="0.2">
      <c r="A235">
        <v>36</v>
      </c>
      <c r="B235" t="s">
        <v>54</v>
      </c>
      <c r="C235">
        <f t="shared" si="4"/>
        <v>30</v>
      </c>
      <c r="D235" s="40">
        <v>6.1963000650599998E-4</v>
      </c>
      <c r="E235">
        <v>5.0000000000000001E-3</v>
      </c>
    </row>
    <row r="236" spans="1:5" x14ac:dyDescent="0.2">
      <c r="A236">
        <v>36</v>
      </c>
      <c r="B236" t="s">
        <v>54</v>
      </c>
      <c r="C236">
        <f t="shared" si="4"/>
        <v>31</v>
      </c>
      <c r="D236" s="40">
        <v>5.4080460722600004E-4</v>
      </c>
      <c r="E236">
        <v>4.0000000000000001E-3</v>
      </c>
    </row>
    <row r="237" spans="1:5" x14ac:dyDescent="0.2">
      <c r="A237">
        <v>36</v>
      </c>
      <c r="B237" t="s">
        <v>54</v>
      </c>
      <c r="C237">
        <f t="shared" si="4"/>
        <v>32</v>
      </c>
      <c r="D237" s="40">
        <v>4.7246962048E-4</v>
      </c>
      <c r="E237">
        <v>8.9999999999999993E-3</v>
      </c>
    </row>
    <row r="238" spans="1:5" x14ac:dyDescent="0.2">
      <c r="A238">
        <v>36</v>
      </c>
      <c r="B238" t="s">
        <v>54</v>
      </c>
      <c r="C238">
        <f t="shared" si="4"/>
        <v>33</v>
      </c>
      <c r="D238" s="40">
        <v>4.1319625158699999E-4</v>
      </c>
      <c r="E238">
        <v>4.0000000000000001E-3</v>
      </c>
    </row>
    <row r="239" spans="1:5" x14ac:dyDescent="0.2">
      <c r="A239">
        <v>36</v>
      </c>
      <c r="B239" t="s">
        <v>54</v>
      </c>
      <c r="C239">
        <f t="shared" si="4"/>
        <v>34</v>
      </c>
      <c r="D239" s="40">
        <v>3.6174769852700001E-4</v>
      </c>
      <c r="E239">
        <v>8.0000000000000002E-3</v>
      </c>
    </row>
    <row r="240" spans="1:5" x14ac:dyDescent="0.2">
      <c r="A240">
        <v>36</v>
      </c>
      <c r="B240" t="s">
        <v>54</v>
      </c>
      <c r="C240">
        <f t="shared" si="4"/>
        <v>35</v>
      </c>
      <c r="D240" s="40">
        <v>3.17055682223E-4</v>
      </c>
      <c r="E240">
        <v>7.0000000000000001E-3</v>
      </c>
    </row>
    <row r="241" spans="1:5" x14ac:dyDescent="0.2">
      <c r="A241">
        <v>36</v>
      </c>
      <c r="B241" t="s">
        <v>54</v>
      </c>
      <c r="C241">
        <f t="shared" si="4"/>
        <v>36</v>
      </c>
      <c r="D241" s="40">
        <v>2.7819889289199998E-4</v>
      </c>
      <c r="E241">
        <v>5.0000000000000001E-3</v>
      </c>
    </row>
    <row r="242" spans="1:5" x14ac:dyDescent="0.2">
      <c r="A242">
        <v>36</v>
      </c>
      <c r="B242" t="s">
        <v>104</v>
      </c>
      <c r="C242">
        <v>1</v>
      </c>
      <c r="D242" s="40">
        <v>0</v>
      </c>
      <c r="E242">
        <v>0.01</v>
      </c>
    </row>
    <row r="243" spans="1:5" x14ac:dyDescent="0.2">
      <c r="A243">
        <v>36</v>
      </c>
      <c r="B243" t="s">
        <v>104</v>
      </c>
      <c r="C243">
        <f>C242+1</f>
        <v>2</v>
      </c>
      <c r="D243" s="40">
        <v>0</v>
      </c>
      <c r="E243">
        <v>1.6E-2</v>
      </c>
    </row>
    <row r="244" spans="1:5" x14ac:dyDescent="0.2">
      <c r="A244">
        <v>36</v>
      </c>
      <c r="B244" t="s">
        <v>104</v>
      </c>
      <c r="C244">
        <f t="shared" ref="C244:C277" si="5">C243+1</f>
        <v>3</v>
      </c>
      <c r="D244" s="40">
        <v>1.7906476354320002E-9</v>
      </c>
      <c r="E244">
        <v>1.2E-2</v>
      </c>
    </row>
    <row r="245" spans="1:5" x14ac:dyDescent="0.2">
      <c r="A245">
        <v>36</v>
      </c>
      <c r="B245" t="s">
        <v>104</v>
      </c>
      <c r="C245">
        <f t="shared" si="5"/>
        <v>4</v>
      </c>
      <c r="D245" s="40">
        <v>2.2843967548230002E-4</v>
      </c>
      <c r="E245">
        <v>0.01</v>
      </c>
    </row>
    <row r="246" spans="1:5" x14ac:dyDescent="0.2">
      <c r="A246">
        <v>36</v>
      </c>
      <c r="B246" t="s">
        <v>104</v>
      </c>
      <c r="C246">
        <f t="shared" si="5"/>
        <v>5</v>
      </c>
      <c r="D246" s="40">
        <v>2.9327529957209999E-3</v>
      </c>
      <c r="E246">
        <v>1.6E-2</v>
      </c>
    </row>
    <row r="247" spans="1:5" x14ac:dyDescent="0.2">
      <c r="A247">
        <v>36</v>
      </c>
      <c r="B247" t="s">
        <v>104</v>
      </c>
      <c r="C247">
        <f t="shared" si="5"/>
        <v>6</v>
      </c>
      <c r="D247" s="40">
        <v>8.6108027721299996E-3</v>
      </c>
      <c r="E247">
        <v>0.01</v>
      </c>
    </row>
    <row r="248" spans="1:5" x14ac:dyDescent="0.2">
      <c r="A248">
        <v>36</v>
      </c>
      <c r="B248" t="s">
        <v>104</v>
      </c>
      <c r="C248">
        <f t="shared" si="5"/>
        <v>7</v>
      </c>
      <c r="D248" s="40">
        <v>1.4616401932139998E-2</v>
      </c>
      <c r="E248">
        <v>1.4E-2</v>
      </c>
    </row>
    <row r="249" spans="1:5" x14ac:dyDescent="0.2">
      <c r="A249">
        <v>36</v>
      </c>
      <c r="B249" t="s">
        <v>104</v>
      </c>
      <c r="C249">
        <f t="shared" si="5"/>
        <v>8</v>
      </c>
      <c r="D249" s="40">
        <v>1.901820541104E-2</v>
      </c>
      <c r="E249">
        <v>0.01</v>
      </c>
    </row>
    <row r="250" spans="1:5" x14ac:dyDescent="0.2">
      <c r="A250">
        <v>36</v>
      </c>
      <c r="B250" t="s">
        <v>104</v>
      </c>
      <c r="C250">
        <f t="shared" si="5"/>
        <v>9</v>
      </c>
      <c r="D250" s="40">
        <v>2.133444468018E-2</v>
      </c>
      <c r="E250">
        <v>8.0000000000000002E-3</v>
      </c>
    </row>
    <row r="251" spans="1:5" x14ac:dyDescent="0.2">
      <c r="A251">
        <v>36</v>
      </c>
      <c r="B251" t="s">
        <v>104</v>
      </c>
      <c r="C251">
        <f t="shared" si="5"/>
        <v>10</v>
      </c>
      <c r="D251" s="40">
        <v>2.1869605394219997E-2</v>
      </c>
      <c r="E251">
        <v>1.7999999999999999E-2</v>
      </c>
    </row>
    <row r="252" spans="1:5" x14ac:dyDescent="0.2">
      <c r="A252">
        <v>36</v>
      </c>
      <c r="B252" t="s">
        <v>104</v>
      </c>
      <c r="C252">
        <f t="shared" si="5"/>
        <v>11</v>
      </c>
      <c r="D252" s="40">
        <v>2.1154775403990002E-2</v>
      </c>
      <c r="E252">
        <v>8.0000000000000002E-3</v>
      </c>
    </row>
    <row r="253" spans="1:5" x14ac:dyDescent="0.2">
      <c r="A253">
        <v>36</v>
      </c>
      <c r="B253" t="s">
        <v>104</v>
      </c>
      <c r="C253">
        <f t="shared" si="5"/>
        <v>12</v>
      </c>
      <c r="D253" s="40">
        <v>1.9684054614269999E-2</v>
      </c>
      <c r="E253">
        <v>1.6E-2</v>
      </c>
    </row>
    <row r="254" spans="1:5" x14ac:dyDescent="0.2">
      <c r="A254">
        <v>36</v>
      </c>
      <c r="B254" t="s">
        <v>104</v>
      </c>
      <c r="C254">
        <f t="shared" si="5"/>
        <v>13</v>
      </c>
      <c r="D254" s="40">
        <v>1.7832880300020001E-2</v>
      </c>
      <c r="E254">
        <v>1.4E-2</v>
      </c>
    </row>
    <row r="255" spans="1:5" x14ac:dyDescent="0.2">
      <c r="A255">
        <v>36</v>
      </c>
      <c r="B255" t="s">
        <v>104</v>
      </c>
      <c r="C255">
        <f t="shared" si="5"/>
        <v>14</v>
      </c>
      <c r="D255" s="40">
        <v>1.5856266188339997E-2</v>
      </c>
      <c r="E255">
        <v>0.01</v>
      </c>
    </row>
    <row r="256" spans="1:5" x14ac:dyDescent="0.2">
      <c r="A256">
        <v>36</v>
      </c>
      <c r="B256" t="s">
        <v>104</v>
      </c>
      <c r="C256">
        <f t="shared" si="5"/>
        <v>15</v>
      </c>
      <c r="D256" s="40">
        <v>1.3913076978090001E-2</v>
      </c>
      <c r="E256">
        <v>1.2E-2</v>
      </c>
    </row>
    <row r="257" spans="1:5" x14ac:dyDescent="0.2">
      <c r="A257">
        <v>36</v>
      </c>
      <c r="B257" t="s">
        <v>104</v>
      </c>
      <c r="C257">
        <f t="shared" si="5"/>
        <v>16</v>
      </c>
      <c r="D257" s="40">
        <v>1.209349220487E-2</v>
      </c>
      <c r="E257">
        <v>0.02</v>
      </c>
    </row>
    <row r="258" spans="1:5" x14ac:dyDescent="0.2">
      <c r="A258">
        <v>36</v>
      </c>
      <c r="B258" t="s">
        <v>104</v>
      </c>
      <c r="C258">
        <f t="shared" si="5"/>
        <v>17</v>
      </c>
      <c r="D258" s="40">
        <v>1.04419187055E-2</v>
      </c>
      <c r="E258">
        <v>0.02</v>
      </c>
    </row>
    <row r="259" spans="1:5" x14ac:dyDescent="0.2">
      <c r="A259">
        <v>36</v>
      </c>
      <c r="B259" t="s">
        <v>104</v>
      </c>
      <c r="C259">
        <f t="shared" si="5"/>
        <v>18</v>
      </c>
      <c r="D259" s="40">
        <v>8.9739041597999992E-3</v>
      </c>
      <c r="E259">
        <v>0.01</v>
      </c>
    </row>
    <row r="260" spans="1:5" x14ac:dyDescent="0.2">
      <c r="A260">
        <v>36</v>
      </c>
      <c r="B260" t="s">
        <v>104</v>
      </c>
      <c r="C260">
        <f t="shared" si="5"/>
        <v>19</v>
      </c>
      <c r="D260" s="40">
        <v>7.6878064296599996E-3</v>
      </c>
      <c r="E260">
        <v>1.7999999999999999E-2</v>
      </c>
    </row>
    <row r="261" spans="1:5" x14ac:dyDescent="0.2">
      <c r="A261">
        <v>36</v>
      </c>
      <c r="B261" t="s">
        <v>104</v>
      </c>
      <c r="C261">
        <f t="shared" si="5"/>
        <v>20</v>
      </c>
      <c r="D261" s="40">
        <v>6.5724847147200002E-3</v>
      </c>
      <c r="E261">
        <v>8.0000000000000002E-3</v>
      </c>
    </row>
    <row r="262" spans="1:5" x14ac:dyDescent="0.2">
      <c r="A262">
        <v>36</v>
      </c>
      <c r="B262" t="s">
        <v>104</v>
      </c>
      <c r="C262">
        <f t="shared" si="5"/>
        <v>21</v>
      </c>
      <c r="D262" s="40">
        <v>5.6121817377599997E-3</v>
      </c>
      <c r="E262">
        <v>1.4E-2</v>
      </c>
    </row>
    <row r="263" spans="1:5" x14ac:dyDescent="0.2">
      <c r="A263">
        <v>36</v>
      </c>
      <c r="B263" t="s">
        <v>104</v>
      </c>
      <c r="C263">
        <f t="shared" si="5"/>
        <v>22</v>
      </c>
      <c r="D263" s="40">
        <v>4.7895077578800002E-3</v>
      </c>
      <c r="E263">
        <v>8.0000000000000002E-3</v>
      </c>
    </row>
    <row r="264" spans="1:5" x14ac:dyDescent="0.2">
      <c r="A264">
        <v>36</v>
      </c>
      <c r="B264" t="s">
        <v>104</v>
      </c>
      <c r="C264">
        <f t="shared" si="5"/>
        <v>23</v>
      </c>
      <c r="D264" s="40">
        <v>4.0871815741200003E-3</v>
      </c>
      <c r="E264">
        <v>0.02</v>
      </c>
    </row>
    <row r="265" spans="1:5" x14ac:dyDescent="0.2">
      <c r="A265">
        <v>36</v>
      </c>
      <c r="B265" t="s">
        <v>104</v>
      </c>
      <c r="C265">
        <f t="shared" si="5"/>
        <v>24</v>
      </c>
      <c r="D265" s="40">
        <v>3.4889787967200001E-3</v>
      </c>
      <c r="E265">
        <v>8.0000000000000002E-3</v>
      </c>
    </row>
    <row r="266" spans="1:5" x14ac:dyDescent="0.2">
      <c r="A266">
        <v>36</v>
      </c>
      <c r="B266" t="s">
        <v>104</v>
      </c>
      <c r="C266">
        <f t="shared" si="5"/>
        <v>25</v>
      </c>
      <c r="D266" s="40">
        <v>2.9801877425640003E-3</v>
      </c>
      <c r="E266">
        <v>1.6E-2</v>
      </c>
    </row>
    <row r="267" spans="1:5" x14ac:dyDescent="0.2">
      <c r="A267">
        <v>36</v>
      </c>
      <c r="B267" t="s">
        <v>104</v>
      </c>
      <c r="C267">
        <f t="shared" si="5"/>
        <v>26</v>
      </c>
      <c r="D267" s="40">
        <v>2.5477689012239997E-3</v>
      </c>
      <c r="E267">
        <v>1.7999999999999999E-2</v>
      </c>
    </row>
    <row r="268" spans="1:5" x14ac:dyDescent="0.2">
      <c r="A268">
        <v>36</v>
      </c>
      <c r="B268" t="s">
        <v>104</v>
      </c>
      <c r="C268">
        <f t="shared" si="5"/>
        <v>27</v>
      </c>
      <c r="D268" s="40">
        <v>2.180343387819E-3</v>
      </c>
      <c r="E268">
        <v>1.2E-2</v>
      </c>
    </row>
    <row r="269" spans="1:5" x14ac:dyDescent="0.2">
      <c r="A269">
        <v>36</v>
      </c>
      <c r="B269" t="s">
        <v>104</v>
      </c>
      <c r="C269">
        <f t="shared" si="5"/>
        <v>28</v>
      </c>
      <c r="D269" s="40">
        <v>1.868089142736E-3</v>
      </c>
      <c r="E269">
        <v>1.2E-2</v>
      </c>
    </row>
    <row r="270" spans="1:5" x14ac:dyDescent="0.2">
      <c r="A270">
        <v>36</v>
      </c>
      <c r="B270" t="s">
        <v>104</v>
      </c>
      <c r="C270">
        <f t="shared" si="5"/>
        <v>29</v>
      </c>
      <c r="D270" s="40">
        <v>1.6025932662870001E-3</v>
      </c>
      <c r="E270">
        <v>1.4E-2</v>
      </c>
    </row>
    <row r="271" spans="1:5" x14ac:dyDescent="0.2">
      <c r="A271">
        <v>36</v>
      </c>
      <c r="B271" t="s">
        <v>104</v>
      </c>
      <c r="C271">
        <f t="shared" si="5"/>
        <v>30</v>
      </c>
      <c r="D271" s="40">
        <v>1.376689379118E-3</v>
      </c>
      <c r="E271">
        <v>0.01</v>
      </c>
    </row>
    <row r="272" spans="1:5" x14ac:dyDescent="0.2">
      <c r="A272">
        <v>36</v>
      </c>
      <c r="B272" t="s">
        <v>104</v>
      </c>
      <c r="C272">
        <f t="shared" si="5"/>
        <v>31</v>
      </c>
      <c r="D272" s="40">
        <v>1.1842965563010001E-3</v>
      </c>
      <c r="E272">
        <v>8.0000000000000002E-3</v>
      </c>
    </row>
    <row r="273" spans="1:5" x14ac:dyDescent="0.2">
      <c r="A273">
        <v>36</v>
      </c>
      <c r="B273" t="s">
        <v>104</v>
      </c>
      <c r="C273">
        <f t="shared" si="5"/>
        <v>32</v>
      </c>
      <c r="D273" s="40">
        <v>1.020268692309E-3</v>
      </c>
      <c r="E273">
        <v>1.7999999999999999E-2</v>
      </c>
    </row>
    <row r="274" spans="1:5" x14ac:dyDescent="0.2">
      <c r="A274">
        <v>36</v>
      </c>
      <c r="B274" t="s">
        <v>104</v>
      </c>
      <c r="C274">
        <f t="shared" si="5"/>
        <v>33</v>
      </c>
      <c r="D274" s="40">
        <v>8.8025845706999999E-4</v>
      </c>
      <c r="E274">
        <v>8.0000000000000002E-3</v>
      </c>
    </row>
    <row r="275" spans="1:5" x14ac:dyDescent="0.2">
      <c r="A275">
        <v>36</v>
      </c>
      <c r="B275" t="s">
        <v>104</v>
      </c>
      <c r="C275">
        <f t="shared" si="5"/>
        <v>34</v>
      </c>
      <c r="D275" s="40">
        <v>7.6059721335899996E-4</v>
      </c>
      <c r="E275">
        <v>1.6E-2</v>
      </c>
    </row>
    <row r="276" spans="1:5" x14ac:dyDescent="0.2">
      <c r="A276">
        <v>36</v>
      </c>
      <c r="B276" t="s">
        <v>104</v>
      </c>
      <c r="C276">
        <f t="shared" si="5"/>
        <v>35</v>
      </c>
      <c r="D276" s="40">
        <v>6.5819067630900003E-4</v>
      </c>
      <c r="E276">
        <v>1.4E-2</v>
      </c>
    </row>
    <row r="277" spans="1:5" x14ac:dyDescent="0.2">
      <c r="A277">
        <v>36</v>
      </c>
      <c r="B277" t="s">
        <v>104</v>
      </c>
      <c r="C277">
        <f t="shared" si="5"/>
        <v>36</v>
      </c>
      <c r="D277" s="40">
        <v>5.7042925125299997E-4</v>
      </c>
      <c r="E277">
        <v>0.01</v>
      </c>
    </row>
    <row r="278" spans="1:5" x14ac:dyDescent="0.2">
      <c r="A278">
        <v>60</v>
      </c>
      <c r="B278" t="s">
        <v>51</v>
      </c>
      <c r="C278">
        <v>1</v>
      </c>
      <c r="D278" s="40">
        <v>0</v>
      </c>
      <c r="E278">
        <v>8.0000000000000002E-3</v>
      </c>
    </row>
    <row r="279" spans="1:5" x14ac:dyDescent="0.2">
      <c r="A279">
        <v>60</v>
      </c>
      <c r="B279" t="s">
        <v>51</v>
      </c>
      <c r="C279">
        <f>C278+1</f>
        <v>2</v>
      </c>
      <c r="D279" s="40">
        <v>8.42562308199E-4</v>
      </c>
      <c r="E279">
        <v>0.01</v>
      </c>
    </row>
    <row r="280" spans="1:5" x14ac:dyDescent="0.2">
      <c r="A280">
        <v>60</v>
      </c>
      <c r="B280" t="s">
        <v>51</v>
      </c>
      <c r="C280">
        <f t="shared" ref="C280:C337" si="6">C279+1</f>
        <v>3</v>
      </c>
      <c r="D280" s="40">
        <v>6.0805157847000002E-3</v>
      </c>
      <c r="E280">
        <v>8.0000000000000002E-3</v>
      </c>
    </row>
    <row r="281" spans="1:5" x14ac:dyDescent="0.2">
      <c r="A281">
        <v>60</v>
      </c>
      <c r="B281" t="s">
        <v>51</v>
      </c>
      <c r="C281">
        <f t="shared" si="6"/>
        <v>4</v>
      </c>
      <c r="D281" s="40">
        <v>5.5083524536099996E-3</v>
      </c>
      <c r="E281">
        <v>8.0000000000000002E-3</v>
      </c>
    </row>
    <row r="282" spans="1:5" x14ac:dyDescent="0.2">
      <c r="A282">
        <v>60</v>
      </c>
      <c r="B282" t="s">
        <v>51</v>
      </c>
      <c r="C282">
        <f t="shared" si="6"/>
        <v>5</v>
      </c>
      <c r="D282" s="40">
        <v>4.8887286906599998E-3</v>
      </c>
      <c r="E282">
        <v>0.01</v>
      </c>
    </row>
    <row r="283" spans="1:5" x14ac:dyDescent="0.2">
      <c r="A283">
        <v>60</v>
      </c>
      <c r="B283" t="s">
        <v>51</v>
      </c>
      <c r="C283">
        <f t="shared" si="6"/>
        <v>6</v>
      </c>
      <c r="D283" s="40">
        <v>4.3687532598299999E-3</v>
      </c>
      <c r="E283">
        <v>4.0000000000000001E-3</v>
      </c>
    </row>
    <row r="284" spans="1:5" x14ac:dyDescent="0.2">
      <c r="A284">
        <v>60</v>
      </c>
      <c r="B284" t="s">
        <v>51</v>
      </c>
      <c r="C284">
        <f t="shared" si="6"/>
        <v>7</v>
      </c>
      <c r="D284" s="40">
        <v>3.9405431829299996E-3</v>
      </c>
      <c r="E284">
        <v>5.0000000000000001E-3</v>
      </c>
    </row>
    <row r="285" spans="1:5" x14ac:dyDescent="0.2">
      <c r="A285">
        <v>60</v>
      </c>
      <c r="B285" t="s">
        <v>51</v>
      </c>
      <c r="C285">
        <f t="shared" si="6"/>
        <v>8</v>
      </c>
      <c r="D285" s="40">
        <v>3.58473125338E-3</v>
      </c>
      <c r="E285">
        <v>7.0000000000000001E-3</v>
      </c>
    </row>
    <row r="286" spans="1:5" x14ac:dyDescent="0.2">
      <c r="A286">
        <v>60</v>
      </c>
      <c r="B286" t="s">
        <v>51</v>
      </c>
      <c r="C286">
        <f t="shared" si="6"/>
        <v>9</v>
      </c>
      <c r="D286" s="40">
        <v>3.2851242894299999E-3</v>
      </c>
      <c r="E286">
        <v>5.0000000000000001E-3</v>
      </c>
    </row>
    <row r="287" spans="1:5" x14ac:dyDescent="0.2">
      <c r="A287">
        <v>60</v>
      </c>
      <c r="B287" t="s">
        <v>51</v>
      </c>
      <c r="C287">
        <f t="shared" si="6"/>
        <v>10</v>
      </c>
      <c r="D287" s="40">
        <v>3.0295551068400001E-3</v>
      </c>
      <c r="E287">
        <v>8.0000000000000002E-3</v>
      </c>
    </row>
    <row r="288" spans="1:5" x14ac:dyDescent="0.2">
      <c r="A288">
        <v>60</v>
      </c>
      <c r="B288" t="s">
        <v>51</v>
      </c>
      <c r="C288">
        <f t="shared" si="6"/>
        <v>11</v>
      </c>
      <c r="D288" s="40">
        <v>2.8090001227899998E-3</v>
      </c>
      <c r="E288">
        <v>6.0000000000000001E-3</v>
      </c>
    </row>
    <row r="289" spans="1:5" x14ac:dyDescent="0.2">
      <c r="A289">
        <v>60</v>
      </c>
      <c r="B289" t="s">
        <v>51</v>
      </c>
      <c r="C289">
        <f t="shared" si="6"/>
        <v>12</v>
      </c>
      <c r="D289" s="40">
        <v>2.61670696102E-3</v>
      </c>
      <c r="E289">
        <v>5.0000000000000001E-3</v>
      </c>
    </row>
    <row r="290" spans="1:5" x14ac:dyDescent="0.2">
      <c r="A290">
        <v>60</v>
      </c>
      <c r="B290" t="s">
        <v>51</v>
      </c>
      <c r="C290">
        <f t="shared" si="6"/>
        <v>13</v>
      </c>
      <c r="D290" s="40">
        <v>2.44754764649E-3</v>
      </c>
      <c r="E290">
        <v>8.0000000000000002E-3</v>
      </c>
    </row>
    <row r="291" spans="1:5" x14ac:dyDescent="0.2">
      <c r="A291">
        <v>60</v>
      </c>
      <c r="B291" t="s">
        <v>51</v>
      </c>
      <c r="C291">
        <f t="shared" si="6"/>
        <v>14</v>
      </c>
      <c r="D291" s="40">
        <v>2.2975660893399998E-3</v>
      </c>
      <c r="E291">
        <v>5.0000000000000001E-3</v>
      </c>
    </row>
    <row r="292" spans="1:5" x14ac:dyDescent="0.2">
      <c r="A292">
        <v>60</v>
      </c>
      <c r="B292" t="s">
        <v>51</v>
      </c>
      <c r="C292">
        <f t="shared" si="6"/>
        <v>15</v>
      </c>
      <c r="D292" s="40">
        <v>2.1636638604799999E-3</v>
      </c>
      <c r="E292">
        <v>7.0000000000000001E-3</v>
      </c>
    </row>
    <row r="293" spans="1:5" x14ac:dyDescent="0.2">
      <c r="A293">
        <v>60</v>
      </c>
      <c r="B293" t="s">
        <v>51</v>
      </c>
      <c r="C293">
        <f t="shared" si="6"/>
        <v>16</v>
      </c>
      <c r="D293" s="40">
        <v>2.04338015276E-3</v>
      </c>
      <c r="E293">
        <v>5.0000000000000001E-3</v>
      </c>
    </row>
    <row r="294" spans="1:5" x14ac:dyDescent="0.2">
      <c r="A294">
        <v>60</v>
      </c>
      <c r="B294" t="s">
        <v>51</v>
      </c>
      <c r="C294">
        <f t="shared" si="6"/>
        <v>17</v>
      </c>
      <c r="D294" s="40">
        <v>1.9347355536300001E-3</v>
      </c>
      <c r="E294">
        <v>4.0000000000000001E-3</v>
      </c>
    </row>
    <row r="295" spans="1:5" x14ac:dyDescent="0.2">
      <c r="A295">
        <v>60</v>
      </c>
      <c r="B295" t="s">
        <v>51</v>
      </c>
      <c r="C295">
        <f t="shared" si="6"/>
        <v>18</v>
      </c>
      <c r="D295" s="40">
        <v>1.83611940912E-3</v>
      </c>
      <c r="E295">
        <v>8.9999999999999993E-3</v>
      </c>
    </row>
    <row r="296" spans="1:5" x14ac:dyDescent="0.2">
      <c r="A296">
        <v>60</v>
      </c>
      <c r="B296" t="s">
        <v>51</v>
      </c>
      <c r="C296">
        <f t="shared" si="6"/>
        <v>19</v>
      </c>
      <c r="D296" s="40">
        <v>1.7462073631200001E-3</v>
      </c>
      <c r="E296">
        <v>4.0000000000000001E-3</v>
      </c>
    </row>
    <row r="297" spans="1:5" x14ac:dyDescent="0.2">
      <c r="A297">
        <v>60</v>
      </c>
      <c r="B297" t="s">
        <v>51</v>
      </c>
      <c r="C297">
        <f t="shared" si="6"/>
        <v>20</v>
      </c>
      <c r="D297" s="40">
        <v>1.66390009745E-3</v>
      </c>
      <c r="E297">
        <v>8.0000000000000002E-3</v>
      </c>
    </row>
    <row r="298" spans="1:5" x14ac:dyDescent="0.2">
      <c r="A298">
        <v>60</v>
      </c>
      <c r="B298" t="s">
        <v>51</v>
      </c>
      <c r="C298">
        <f t="shared" si="6"/>
        <v>21</v>
      </c>
      <c r="D298" s="40">
        <v>1.5882771926199999E-3</v>
      </c>
      <c r="E298">
        <v>7.0000000000000001E-3</v>
      </c>
    </row>
    <row r="299" spans="1:5" x14ac:dyDescent="0.2">
      <c r="A299">
        <v>60</v>
      </c>
      <c r="B299" t="s">
        <v>51</v>
      </c>
      <c r="C299">
        <f t="shared" si="6"/>
        <v>22</v>
      </c>
      <c r="D299" s="40">
        <v>1.51856193071E-3</v>
      </c>
      <c r="E299">
        <v>5.0000000000000001E-3</v>
      </c>
    </row>
    <row r="300" spans="1:5" x14ac:dyDescent="0.2">
      <c r="A300">
        <v>60</v>
      </c>
      <c r="B300" t="s">
        <v>51</v>
      </c>
      <c r="C300">
        <f t="shared" si="6"/>
        <v>23</v>
      </c>
      <c r="D300" s="40">
        <v>1.4540941263599999E-3</v>
      </c>
      <c r="E300">
        <v>6.0000000000000001E-3</v>
      </c>
    </row>
    <row r="301" spans="1:5" x14ac:dyDescent="0.2">
      <c r="A301">
        <v>60</v>
      </c>
      <c r="B301" t="s">
        <v>51</v>
      </c>
      <c r="C301">
        <f t="shared" si="6"/>
        <v>24</v>
      </c>
      <c r="D301" s="40">
        <v>1.39430892431E-3</v>
      </c>
      <c r="E301">
        <v>0.01</v>
      </c>
    </row>
    <row r="302" spans="1:5" x14ac:dyDescent="0.2">
      <c r="A302">
        <v>60</v>
      </c>
      <c r="B302" t="s">
        <v>51</v>
      </c>
      <c r="C302">
        <f t="shared" si="6"/>
        <v>25</v>
      </c>
      <c r="D302" s="40">
        <v>1.3387200854800001E-3</v>
      </c>
      <c r="E302">
        <v>0.01</v>
      </c>
    </row>
    <row r="303" spans="1:5" x14ac:dyDescent="0.2">
      <c r="A303">
        <v>60</v>
      </c>
      <c r="B303" t="s">
        <v>51</v>
      </c>
      <c r="C303">
        <f t="shared" si="6"/>
        <v>26</v>
      </c>
      <c r="D303" s="40">
        <v>1.2869066875100001E-3</v>
      </c>
      <c r="E303">
        <v>5.0000000000000001E-3</v>
      </c>
    </row>
    <row r="304" spans="1:5" x14ac:dyDescent="0.2">
      <c r="A304">
        <v>60</v>
      </c>
      <c r="B304" t="s">
        <v>51</v>
      </c>
      <c r="C304">
        <f t="shared" si="6"/>
        <v>27</v>
      </c>
      <c r="D304" s="40">
        <v>1.2385024501999999E-3</v>
      </c>
      <c r="E304">
        <v>8.9999999999999993E-3</v>
      </c>
    </row>
    <row r="305" spans="1:5" x14ac:dyDescent="0.2">
      <c r="A305">
        <v>60</v>
      </c>
      <c r="B305" t="s">
        <v>51</v>
      </c>
      <c r="C305">
        <f t="shared" si="6"/>
        <v>28</v>
      </c>
      <c r="D305" s="40">
        <v>1.1931870986599999E-3</v>
      </c>
      <c r="E305">
        <v>4.0000000000000001E-3</v>
      </c>
    </row>
    <row r="306" spans="1:5" x14ac:dyDescent="0.2">
      <c r="A306">
        <v>60</v>
      </c>
      <c r="B306" t="s">
        <v>51</v>
      </c>
      <c r="C306">
        <f t="shared" si="6"/>
        <v>29</v>
      </c>
      <c r="D306" s="40">
        <v>1.1506793225E-3</v>
      </c>
      <c r="E306">
        <v>7.0000000000000001E-3</v>
      </c>
    </row>
    <row r="307" spans="1:5" x14ac:dyDescent="0.2">
      <c r="A307">
        <v>60</v>
      </c>
      <c r="B307" t="s">
        <v>51</v>
      </c>
      <c r="C307">
        <f t="shared" si="6"/>
        <v>30</v>
      </c>
      <c r="D307" s="40">
        <v>1.1107309961600001E-3</v>
      </c>
      <c r="E307">
        <v>4.0000000000000001E-3</v>
      </c>
    </row>
    <row r="308" spans="1:5" x14ac:dyDescent="0.2">
      <c r="A308">
        <v>60</v>
      </c>
      <c r="B308" t="s">
        <v>51</v>
      </c>
      <c r="C308">
        <f t="shared" si="6"/>
        <v>31</v>
      </c>
      <c r="D308" s="40">
        <v>1.0731224032300001E-3</v>
      </c>
      <c r="E308">
        <v>0.01</v>
      </c>
    </row>
    <row r="309" spans="1:5" x14ac:dyDescent="0.2">
      <c r="A309">
        <v>60</v>
      </c>
      <c r="B309" t="s">
        <v>51</v>
      </c>
      <c r="C309">
        <f t="shared" si="6"/>
        <v>32</v>
      </c>
      <c r="D309" s="40">
        <v>1.03765826639E-3</v>
      </c>
      <c r="E309">
        <v>4.0000000000000001E-3</v>
      </c>
    </row>
    <row r="310" spans="1:5" x14ac:dyDescent="0.2">
      <c r="A310">
        <v>60</v>
      </c>
      <c r="B310" t="s">
        <v>51</v>
      </c>
      <c r="C310">
        <f t="shared" si="6"/>
        <v>33</v>
      </c>
      <c r="D310" s="40">
        <v>1.0041644280099999E-3</v>
      </c>
      <c r="E310">
        <v>8.0000000000000002E-3</v>
      </c>
    </row>
    <row r="311" spans="1:5" x14ac:dyDescent="0.2">
      <c r="A311">
        <v>60</v>
      </c>
      <c r="B311" t="s">
        <v>51</v>
      </c>
      <c r="C311">
        <f t="shared" si="6"/>
        <v>34</v>
      </c>
      <c r="D311" s="40">
        <v>9.7248505986899999E-4</v>
      </c>
      <c r="E311">
        <v>8.9999999999999993E-3</v>
      </c>
    </row>
    <row r="312" spans="1:5" x14ac:dyDescent="0.2">
      <c r="A312">
        <v>60</v>
      </c>
      <c r="B312" t="s">
        <v>51</v>
      </c>
      <c r="C312">
        <f t="shared" si="6"/>
        <v>35</v>
      </c>
      <c r="D312" s="40">
        <v>9.4248030578100001E-4</v>
      </c>
      <c r="E312">
        <v>6.0000000000000001E-3</v>
      </c>
    </row>
    <row r="313" spans="1:5" x14ac:dyDescent="0.2">
      <c r="A313">
        <v>60</v>
      </c>
      <c r="B313" t="s">
        <v>51</v>
      </c>
      <c r="C313">
        <f t="shared" si="6"/>
        <v>36</v>
      </c>
      <c r="D313" s="40">
        <v>9.14024280363E-4</v>
      </c>
      <c r="E313">
        <v>6.0000000000000001E-3</v>
      </c>
    </row>
    <row r="314" spans="1:5" x14ac:dyDescent="0.2">
      <c r="A314">
        <v>60</v>
      </c>
      <c r="B314" t="s">
        <v>51</v>
      </c>
      <c r="C314">
        <f t="shared" si="6"/>
        <v>37</v>
      </c>
      <c r="D314" s="40">
        <v>8.8700336255699997E-4</v>
      </c>
      <c r="E314">
        <v>7.0000000000000001E-3</v>
      </c>
    </row>
    <row r="315" spans="1:5" x14ac:dyDescent="0.2">
      <c r="A315">
        <v>60</v>
      </c>
      <c r="B315" t="s">
        <v>51</v>
      </c>
      <c r="C315">
        <f t="shared" si="6"/>
        <v>38</v>
      </c>
      <c r="D315" s="40">
        <v>8.6131473424000003E-4</v>
      </c>
      <c r="E315">
        <v>5.0000000000000001E-3</v>
      </c>
    </row>
    <row r="316" spans="1:5" x14ac:dyDescent="0.2">
      <c r="A316">
        <v>60</v>
      </c>
      <c r="B316" t="s">
        <v>51</v>
      </c>
      <c r="C316">
        <f t="shared" si="6"/>
        <v>39</v>
      </c>
      <c r="D316" s="40">
        <v>8.3686512367999995E-4</v>
      </c>
      <c r="E316">
        <v>4.0000000000000001E-3</v>
      </c>
    </row>
    <row r="317" spans="1:5" x14ac:dyDescent="0.2">
      <c r="A317">
        <v>60</v>
      </c>
      <c r="B317" t="s">
        <v>51</v>
      </c>
      <c r="C317">
        <f t="shared" si="6"/>
        <v>40</v>
      </c>
      <c r="D317" s="40">
        <v>8.1356972097999997E-4</v>
      </c>
      <c r="E317">
        <v>8.9999999999999993E-3</v>
      </c>
    </row>
    <row r="318" spans="1:5" x14ac:dyDescent="0.2">
      <c r="A318">
        <v>60</v>
      </c>
      <c r="B318" t="s">
        <v>51</v>
      </c>
      <c r="C318">
        <f t="shared" si="6"/>
        <v>41</v>
      </c>
      <c r="D318" s="40">
        <v>7.9135123856300001E-4</v>
      </c>
      <c r="E318">
        <v>4.0000000000000001E-3</v>
      </c>
    </row>
    <row r="319" spans="1:5" x14ac:dyDescent="0.2">
      <c r="A319">
        <v>60</v>
      </c>
      <c r="B319" t="s">
        <v>51</v>
      </c>
      <c r="C319">
        <f t="shared" si="6"/>
        <v>42</v>
      </c>
      <c r="D319" s="40">
        <v>7.7013909449899997E-4</v>
      </c>
      <c r="E319">
        <v>8.0000000000000002E-3</v>
      </c>
    </row>
    <row r="320" spans="1:5" x14ac:dyDescent="0.2">
      <c r="A320">
        <v>60</v>
      </c>
      <c r="B320" t="s">
        <v>51</v>
      </c>
      <c r="C320">
        <f t="shared" si="6"/>
        <v>43</v>
      </c>
      <c r="D320" s="40">
        <v>7.4986870025500003E-4</v>
      </c>
      <c r="E320">
        <v>7.0000000000000001E-3</v>
      </c>
    </row>
    <row r="321" spans="1:5" x14ac:dyDescent="0.2">
      <c r="A321">
        <v>60</v>
      </c>
      <c r="B321" t="s">
        <v>51</v>
      </c>
      <c r="C321">
        <f t="shared" si="6"/>
        <v>44</v>
      </c>
      <c r="D321" s="40">
        <v>7.30480837582E-4</v>
      </c>
      <c r="E321">
        <v>5.0000000000000001E-3</v>
      </c>
    </row>
    <row r="322" spans="1:5" x14ac:dyDescent="0.2">
      <c r="A322">
        <v>60</v>
      </c>
      <c r="B322" t="s">
        <v>51</v>
      </c>
      <c r="C322">
        <f t="shared" si="6"/>
        <v>45</v>
      </c>
      <c r="D322" s="40">
        <v>7.1192111174599995E-4</v>
      </c>
      <c r="E322">
        <v>6.0000000000000001E-3</v>
      </c>
    </row>
    <row r="323" spans="1:5" x14ac:dyDescent="0.2">
      <c r="A323">
        <v>60</v>
      </c>
      <c r="B323" t="s">
        <v>51</v>
      </c>
      <c r="C323">
        <f t="shared" si="6"/>
        <v>46</v>
      </c>
      <c r="D323" s="40">
        <v>6.9413947037700002E-4</v>
      </c>
      <c r="E323">
        <v>0.01</v>
      </c>
    </row>
    <row r="324" spans="1:5" x14ac:dyDescent="0.2">
      <c r="A324">
        <v>60</v>
      </c>
      <c r="B324" t="s">
        <v>51</v>
      </c>
      <c r="C324">
        <f t="shared" si="6"/>
        <v>47</v>
      </c>
      <c r="D324" s="40">
        <v>6.7708977890000002E-4</v>
      </c>
      <c r="E324">
        <v>0.01</v>
      </c>
    </row>
    <row r="325" spans="1:5" x14ac:dyDescent="0.2">
      <c r="A325">
        <v>60</v>
      </c>
      <c r="B325" t="s">
        <v>51</v>
      </c>
      <c r="C325">
        <f t="shared" si="6"/>
        <v>48</v>
      </c>
      <c r="D325" s="40">
        <v>6.6072944492699996E-4</v>
      </c>
      <c r="E325">
        <v>5.0000000000000001E-3</v>
      </c>
    </row>
    <row r="326" spans="1:5" x14ac:dyDescent="0.2">
      <c r="A326">
        <v>60</v>
      </c>
      <c r="B326" t="s">
        <v>51</v>
      </c>
      <c r="C326">
        <f t="shared" si="6"/>
        <v>49</v>
      </c>
      <c r="D326" s="40">
        <v>6.4501908510800001E-4</v>
      </c>
      <c r="E326">
        <v>8.9999999999999993E-3</v>
      </c>
    </row>
    <row r="327" spans="1:5" x14ac:dyDescent="0.2">
      <c r="A327">
        <v>60</v>
      </c>
      <c r="B327" t="s">
        <v>51</v>
      </c>
      <c r="C327">
        <f t="shared" si="6"/>
        <v>50</v>
      </c>
      <c r="D327" s="40">
        <v>6.2992222895399996E-4</v>
      </c>
      <c r="E327">
        <v>4.0000000000000001E-3</v>
      </c>
    </row>
    <row r="328" spans="1:5" x14ac:dyDescent="0.2">
      <c r="A328">
        <v>60</v>
      </c>
      <c r="B328" t="s">
        <v>51</v>
      </c>
      <c r="C328">
        <f t="shared" si="6"/>
        <v>51</v>
      </c>
      <c r="D328" s="40">
        <v>6.1540505490599996E-4</v>
      </c>
      <c r="E328">
        <v>7.0000000000000001E-3</v>
      </c>
    </row>
    <row r="329" spans="1:5" x14ac:dyDescent="0.2">
      <c r="A329">
        <v>60</v>
      </c>
      <c r="B329" t="s">
        <v>51</v>
      </c>
      <c r="C329">
        <f t="shared" si="6"/>
        <v>52</v>
      </c>
      <c r="D329" s="40">
        <v>6.0143615462400002E-4</v>
      </c>
      <c r="E329">
        <v>4.0000000000000001E-3</v>
      </c>
    </row>
    <row r="330" spans="1:5" x14ac:dyDescent="0.2">
      <c r="A330">
        <v>60</v>
      </c>
      <c r="B330" t="s">
        <v>51</v>
      </c>
      <c r="C330">
        <f t="shared" si="6"/>
        <v>53</v>
      </c>
      <c r="D330" s="40">
        <v>5.8798632202999997E-4</v>
      </c>
      <c r="E330">
        <v>0.01</v>
      </c>
    </row>
    <row r="331" spans="1:5" x14ac:dyDescent="0.2">
      <c r="A331">
        <v>60</v>
      </c>
      <c r="B331" t="s">
        <v>51</v>
      </c>
      <c r="C331">
        <f t="shared" si="6"/>
        <v>54</v>
      </c>
      <c r="D331" s="40">
        <v>5.7502836411400002E-4</v>
      </c>
      <c r="E331">
        <v>0.01</v>
      </c>
    </row>
    <row r="332" spans="1:5" x14ac:dyDescent="0.2">
      <c r="A332">
        <v>60</v>
      </c>
      <c r="B332" t="s">
        <v>51</v>
      </c>
      <c r="C332">
        <f t="shared" si="6"/>
        <v>55</v>
      </c>
      <c r="D332" s="40">
        <v>5.6253693093300005E-4</v>
      </c>
      <c r="E332">
        <v>5.0000000000000001E-3</v>
      </c>
    </row>
    <row r="333" spans="1:5" x14ac:dyDescent="0.2">
      <c r="A333">
        <v>60</v>
      </c>
      <c r="B333" t="s">
        <v>51</v>
      </c>
      <c r="C333">
        <f t="shared" si="6"/>
        <v>56</v>
      </c>
      <c r="D333" s="40">
        <v>5.5048836255200005E-4</v>
      </c>
      <c r="E333">
        <v>8.9999999999999993E-3</v>
      </c>
    </row>
    <row r="334" spans="1:5" x14ac:dyDescent="0.2">
      <c r="A334">
        <v>60</v>
      </c>
      <c r="B334" t="s">
        <v>51</v>
      </c>
      <c r="C334">
        <f t="shared" si="6"/>
        <v>57</v>
      </c>
      <c r="D334" s="40">
        <v>5.3886055099400005E-4</v>
      </c>
      <c r="E334">
        <v>4.0000000000000001E-3</v>
      </c>
    </row>
    <row r="335" spans="1:5" x14ac:dyDescent="0.2">
      <c r="A335">
        <v>60</v>
      </c>
      <c r="B335" t="s">
        <v>51</v>
      </c>
      <c r="C335">
        <f t="shared" si="6"/>
        <v>58</v>
      </c>
      <c r="D335" s="40">
        <v>5.2763281551399996E-4</v>
      </c>
      <c r="E335">
        <v>7.0000000000000001E-3</v>
      </c>
    </row>
    <row r="336" spans="1:5" x14ac:dyDescent="0.2">
      <c r="A336">
        <v>60</v>
      </c>
      <c r="B336" t="s">
        <v>51</v>
      </c>
      <c r="C336">
        <f t="shared" si="6"/>
        <v>59</v>
      </c>
      <c r="D336" s="40">
        <v>5.16785789695E-4</v>
      </c>
      <c r="E336">
        <v>4.0000000000000001E-3</v>
      </c>
    </row>
    <row r="337" spans="1:5" x14ac:dyDescent="0.2">
      <c r="A337">
        <v>60</v>
      </c>
      <c r="B337" t="s">
        <v>51</v>
      </c>
      <c r="C337">
        <f t="shared" si="6"/>
        <v>60</v>
      </c>
      <c r="D337" s="40">
        <v>5.0630131910800002E-4</v>
      </c>
      <c r="E337">
        <v>0.01</v>
      </c>
    </row>
    <row r="338" spans="1:5" x14ac:dyDescent="0.2">
      <c r="A338">
        <v>60</v>
      </c>
      <c r="B338" t="s">
        <v>52</v>
      </c>
      <c r="C338">
        <v>1</v>
      </c>
      <c r="D338" s="40">
        <v>0</v>
      </c>
      <c r="E338">
        <v>8.0000000000000002E-3</v>
      </c>
    </row>
    <row r="339" spans="1:5" x14ac:dyDescent="0.2">
      <c r="A339">
        <v>60</v>
      </c>
      <c r="B339" t="s">
        <v>52</v>
      </c>
      <c r="C339">
        <f>C338+1</f>
        <v>2</v>
      </c>
      <c r="D339" s="40">
        <v>0</v>
      </c>
      <c r="E339">
        <v>0.01</v>
      </c>
    </row>
    <row r="340" spans="1:5" x14ac:dyDescent="0.2">
      <c r="A340">
        <v>60</v>
      </c>
      <c r="B340" t="s">
        <v>52</v>
      </c>
      <c r="C340">
        <f t="shared" ref="C340:C397" si="7">C339+1</f>
        <v>3</v>
      </c>
      <c r="D340" s="40">
        <v>1.37285132589E-2</v>
      </c>
      <c r="E340">
        <v>8.0000000000000002E-3</v>
      </c>
    </row>
    <row r="341" spans="1:5" x14ac:dyDescent="0.2">
      <c r="A341">
        <v>60</v>
      </c>
      <c r="B341" t="s">
        <v>52</v>
      </c>
      <c r="C341">
        <f t="shared" si="7"/>
        <v>4</v>
      </c>
      <c r="D341" s="40">
        <v>9.1127161029500008E-3</v>
      </c>
      <c r="E341">
        <v>8.0000000000000002E-3</v>
      </c>
    </row>
    <row r="342" spans="1:5" x14ac:dyDescent="0.2">
      <c r="A342">
        <v>60</v>
      </c>
      <c r="B342" t="s">
        <v>52</v>
      </c>
      <c r="C342">
        <f t="shared" si="7"/>
        <v>5</v>
      </c>
      <c r="D342" s="40">
        <v>6.9233321347400003E-3</v>
      </c>
      <c r="E342">
        <v>0.01</v>
      </c>
    </row>
    <row r="343" spans="1:5" x14ac:dyDescent="0.2">
      <c r="A343">
        <v>60</v>
      </c>
      <c r="B343" t="s">
        <v>52</v>
      </c>
      <c r="C343">
        <f t="shared" si="7"/>
        <v>6</v>
      </c>
      <c r="D343" s="40">
        <v>5.6057119881399997E-3</v>
      </c>
      <c r="E343">
        <v>4.0000000000000001E-3</v>
      </c>
    </row>
    <row r="344" spans="1:5" x14ac:dyDescent="0.2">
      <c r="A344">
        <v>60</v>
      </c>
      <c r="B344" t="s">
        <v>52</v>
      </c>
      <c r="C344">
        <f t="shared" si="7"/>
        <v>7</v>
      </c>
      <c r="D344" s="40">
        <v>4.7139336922200001E-3</v>
      </c>
      <c r="E344">
        <v>5.0000000000000001E-3</v>
      </c>
    </row>
    <row r="345" spans="1:5" x14ac:dyDescent="0.2">
      <c r="A345">
        <v>60</v>
      </c>
      <c r="B345" t="s">
        <v>52</v>
      </c>
      <c r="C345">
        <f t="shared" si="7"/>
        <v>8</v>
      </c>
      <c r="D345" s="40">
        <v>4.0659751708699999E-3</v>
      </c>
      <c r="E345">
        <v>7.0000000000000001E-3</v>
      </c>
    </row>
    <row r="346" spans="1:5" x14ac:dyDescent="0.2">
      <c r="A346">
        <v>60</v>
      </c>
      <c r="B346" t="s">
        <v>52</v>
      </c>
      <c r="C346">
        <f t="shared" si="7"/>
        <v>9</v>
      </c>
      <c r="D346" s="40">
        <v>3.5720480061100001E-3</v>
      </c>
      <c r="E346">
        <v>5.0000000000000001E-3</v>
      </c>
    </row>
    <row r="347" spans="1:5" x14ac:dyDescent="0.2">
      <c r="A347">
        <v>60</v>
      </c>
      <c r="B347" t="s">
        <v>52</v>
      </c>
      <c r="C347">
        <f t="shared" si="7"/>
        <v>10</v>
      </c>
      <c r="D347" s="40">
        <v>3.1822222903499999E-3</v>
      </c>
      <c r="E347">
        <v>8.0000000000000002E-3</v>
      </c>
    </row>
    <row r="348" spans="1:5" x14ac:dyDescent="0.2">
      <c r="A348">
        <v>60</v>
      </c>
      <c r="B348" t="s">
        <v>52</v>
      </c>
      <c r="C348">
        <f t="shared" si="7"/>
        <v>11</v>
      </c>
      <c r="D348" s="40">
        <v>2.86631676813E-3</v>
      </c>
      <c r="E348">
        <v>6.0000000000000001E-3</v>
      </c>
    </row>
    <row r="349" spans="1:5" x14ac:dyDescent="0.2">
      <c r="A349">
        <v>60</v>
      </c>
      <c r="B349" t="s">
        <v>52</v>
      </c>
      <c r="C349">
        <f t="shared" si="7"/>
        <v>12</v>
      </c>
      <c r="D349" s="40">
        <v>2.6049255527599998E-3</v>
      </c>
      <c r="E349">
        <v>5.0000000000000001E-3</v>
      </c>
    </row>
    <row r="350" spans="1:5" x14ac:dyDescent="0.2">
      <c r="A350">
        <v>60</v>
      </c>
      <c r="B350" t="s">
        <v>52</v>
      </c>
      <c r="C350">
        <f t="shared" si="7"/>
        <v>13</v>
      </c>
      <c r="D350" s="40">
        <v>2.38496142666E-3</v>
      </c>
      <c r="E350">
        <v>8.0000000000000002E-3</v>
      </c>
    </row>
    <row r="351" spans="1:5" x14ac:dyDescent="0.2">
      <c r="A351">
        <v>60</v>
      </c>
      <c r="B351" t="s">
        <v>52</v>
      </c>
      <c r="C351">
        <f t="shared" si="7"/>
        <v>14</v>
      </c>
      <c r="D351" s="40">
        <v>2.1972562423100001E-3</v>
      </c>
      <c r="E351">
        <v>5.0000000000000001E-3</v>
      </c>
    </row>
    <row r="352" spans="1:5" x14ac:dyDescent="0.2">
      <c r="A352">
        <v>60</v>
      </c>
      <c r="B352" t="s">
        <v>52</v>
      </c>
      <c r="C352">
        <f t="shared" si="7"/>
        <v>15</v>
      </c>
      <c r="D352" s="40">
        <v>2.03518451825E-3</v>
      </c>
      <c r="E352">
        <v>7.0000000000000001E-3</v>
      </c>
    </row>
    <row r="353" spans="1:5" x14ac:dyDescent="0.2">
      <c r="A353">
        <v>60</v>
      </c>
      <c r="B353" t="s">
        <v>52</v>
      </c>
      <c r="C353">
        <f t="shared" si="7"/>
        <v>16</v>
      </c>
      <c r="D353" s="40">
        <v>1.8938325768400001E-3</v>
      </c>
      <c r="E353">
        <v>5.0000000000000001E-3</v>
      </c>
    </row>
    <row r="354" spans="1:5" x14ac:dyDescent="0.2">
      <c r="A354">
        <v>60</v>
      </c>
      <c r="B354" t="s">
        <v>52</v>
      </c>
      <c r="C354">
        <f t="shared" si="7"/>
        <v>17</v>
      </c>
      <c r="D354" s="40">
        <v>1.7694754076599999E-3</v>
      </c>
      <c r="E354">
        <v>4.0000000000000001E-3</v>
      </c>
    </row>
    <row r="355" spans="1:5" x14ac:dyDescent="0.2">
      <c r="A355">
        <v>60</v>
      </c>
      <c r="B355" t="s">
        <v>52</v>
      </c>
      <c r="C355">
        <f t="shared" si="7"/>
        <v>18</v>
      </c>
      <c r="D355" s="40">
        <v>1.6592354089299999E-3</v>
      </c>
      <c r="E355">
        <v>8.9999999999999993E-3</v>
      </c>
    </row>
    <row r="356" spans="1:5" x14ac:dyDescent="0.2">
      <c r="A356">
        <v>60</v>
      </c>
      <c r="B356" t="s">
        <v>52</v>
      </c>
      <c r="C356">
        <f t="shared" si="7"/>
        <v>19</v>
      </c>
      <c r="D356" s="40">
        <v>1.5608529449E-3</v>
      </c>
      <c r="E356">
        <v>4.0000000000000001E-3</v>
      </c>
    </row>
    <row r="357" spans="1:5" x14ac:dyDescent="0.2">
      <c r="A357">
        <v>60</v>
      </c>
      <c r="B357" t="s">
        <v>52</v>
      </c>
      <c r="C357">
        <f t="shared" si="7"/>
        <v>20</v>
      </c>
      <c r="D357" s="40">
        <v>1.47252800342E-3</v>
      </c>
      <c r="E357">
        <v>8.0000000000000002E-3</v>
      </c>
    </row>
    <row r="358" spans="1:5" x14ac:dyDescent="0.2">
      <c r="A358">
        <v>60</v>
      </c>
      <c r="B358" t="s">
        <v>52</v>
      </c>
      <c r="C358">
        <f t="shared" si="7"/>
        <v>21</v>
      </c>
      <c r="D358" s="40">
        <v>1.3928084030999999E-3</v>
      </c>
      <c r="E358">
        <v>7.0000000000000001E-3</v>
      </c>
    </row>
    <row r="359" spans="1:5" x14ac:dyDescent="0.2">
      <c r="A359">
        <v>60</v>
      </c>
      <c r="B359" t="s">
        <v>52</v>
      </c>
      <c r="C359">
        <f t="shared" si="7"/>
        <v>22</v>
      </c>
      <c r="D359" s="40">
        <v>1.3205092657700001E-3</v>
      </c>
      <c r="E359">
        <v>5.0000000000000001E-3</v>
      </c>
    </row>
    <row r="360" spans="1:5" x14ac:dyDescent="0.2">
      <c r="A360">
        <v>60</v>
      </c>
      <c r="B360" t="s">
        <v>52</v>
      </c>
      <c r="C360">
        <f t="shared" si="7"/>
        <v>23</v>
      </c>
      <c r="D360" s="40">
        <v>1.25465396744E-3</v>
      </c>
      <c r="E360">
        <v>6.0000000000000001E-3</v>
      </c>
    </row>
    <row r="361" spans="1:5" x14ac:dyDescent="0.2">
      <c r="A361">
        <v>60</v>
      </c>
      <c r="B361" t="s">
        <v>52</v>
      </c>
      <c r="C361">
        <f t="shared" si="7"/>
        <v>24</v>
      </c>
      <c r="D361" s="40">
        <v>1.1944301436300001E-3</v>
      </c>
      <c r="E361">
        <v>0.01</v>
      </c>
    </row>
    <row r="362" spans="1:5" x14ac:dyDescent="0.2">
      <c r="A362">
        <v>60</v>
      </c>
      <c r="B362" t="s">
        <v>52</v>
      </c>
      <c r="C362">
        <f t="shared" si="7"/>
        <v>25</v>
      </c>
      <c r="D362" s="40">
        <v>1.1391564378500001E-3</v>
      </c>
      <c r="E362">
        <v>0.01</v>
      </c>
    </row>
    <row r="363" spans="1:5" x14ac:dyDescent="0.2">
      <c r="A363">
        <v>60</v>
      </c>
      <c r="B363" t="s">
        <v>52</v>
      </c>
      <c r="C363">
        <f t="shared" si="7"/>
        <v>26</v>
      </c>
      <c r="D363" s="40">
        <v>1.0882570418099999E-3</v>
      </c>
      <c r="E363">
        <v>5.0000000000000001E-3</v>
      </c>
    </row>
    <row r="364" spans="1:5" x14ac:dyDescent="0.2">
      <c r="A364">
        <v>60</v>
      </c>
      <c r="B364" t="s">
        <v>52</v>
      </c>
      <c r="C364">
        <f t="shared" si="7"/>
        <v>27</v>
      </c>
      <c r="D364" s="40">
        <v>1.04124197048E-3</v>
      </c>
      <c r="E364">
        <v>8.9999999999999993E-3</v>
      </c>
    </row>
    <row r="365" spans="1:5" x14ac:dyDescent="0.2">
      <c r="A365">
        <v>60</v>
      </c>
      <c r="B365" t="s">
        <v>52</v>
      </c>
      <c r="C365">
        <f t="shared" si="7"/>
        <v>28</v>
      </c>
      <c r="D365" s="40">
        <v>9.9769161456600007E-4</v>
      </c>
      <c r="E365">
        <v>4.0000000000000001E-3</v>
      </c>
    </row>
    <row r="366" spans="1:5" x14ac:dyDescent="0.2">
      <c r="A366">
        <v>60</v>
      </c>
      <c r="B366" t="s">
        <v>52</v>
      </c>
      <c r="C366">
        <f t="shared" si="7"/>
        <v>29</v>
      </c>
      <c r="D366" s="40">
        <v>9.5724452306499995E-4</v>
      </c>
      <c r="E366">
        <v>7.0000000000000001E-3</v>
      </c>
    </row>
    <row r="367" spans="1:5" x14ac:dyDescent="0.2">
      <c r="A367">
        <v>60</v>
      </c>
      <c r="B367" t="s">
        <v>52</v>
      </c>
      <c r="C367">
        <f t="shared" si="7"/>
        <v>30</v>
      </c>
      <c r="D367" s="40">
        <v>9.1958765204600001E-4</v>
      </c>
      <c r="E367">
        <v>4.0000000000000001E-3</v>
      </c>
    </row>
    <row r="368" spans="1:5" x14ac:dyDescent="0.2">
      <c r="A368">
        <v>60</v>
      </c>
      <c r="B368" t="s">
        <v>52</v>
      </c>
      <c r="C368">
        <f t="shared" si="7"/>
        <v>31</v>
      </c>
      <c r="D368" s="40">
        <v>8.8444851634700001E-4</v>
      </c>
      <c r="E368">
        <v>0.01</v>
      </c>
    </row>
    <row r="369" spans="1:5" x14ac:dyDescent="0.2">
      <c r="A369">
        <v>60</v>
      </c>
      <c r="B369" t="s">
        <v>52</v>
      </c>
      <c r="C369">
        <f t="shared" si="7"/>
        <v>32</v>
      </c>
      <c r="D369" s="40">
        <v>8.5158882348199995E-4</v>
      </c>
      <c r="E369">
        <v>4.0000000000000001E-3</v>
      </c>
    </row>
    <row r="370" spans="1:5" x14ac:dyDescent="0.2">
      <c r="A370">
        <v>60</v>
      </c>
      <c r="B370" t="s">
        <v>52</v>
      </c>
      <c r="C370">
        <f t="shared" si="7"/>
        <v>33</v>
      </c>
      <c r="D370" s="40">
        <v>8.2079927237800002E-4</v>
      </c>
      <c r="E370">
        <v>8.0000000000000002E-3</v>
      </c>
    </row>
    <row r="371" spans="1:5" x14ac:dyDescent="0.2">
      <c r="A371">
        <v>60</v>
      </c>
      <c r="B371" t="s">
        <v>52</v>
      </c>
      <c r="C371">
        <f t="shared" si="7"/>
        <v>34</v>
      </c>
      <c r="D371" s="40">
        <v>7.9189527511000003E-4</v>
      </c>
      <c r="E371">
        <v>8.9999999999999993E-3</v>
      </c>
    </row>
    <row r="372" spans="1:5" x14ac:dyDescent="0.2">
      <c r="A372">
        <v>60</v>
      </c>
      <c r="B372" t="s">
        <v>52</v>
      </c>
      <c r="C372">
        <f t="shared" si="7"/>
        <v>35</v>
      </c>
      <c r="D372" s="40">
        <v>7.6471341564499995E-4</v>
      </c>
      <c r="E372">
        <v>6.0000000000000001E-3</v>
      </c>
    </row>
    <row r="373" spans="1:5" x14ac:dyDescent="0.2">
      <c r="A373">
        <v>60</v>
      </c>
      <c r="B373" t="s">
        <v>52</v>
      </c>
      <c r="C373">
        <f t="shared" si="7"/>
        <v>36</v>
      </c>
      <c r="D373" s="40">
        <v>7.3910850130800003E-4</v>
      </c>
      <c r="E373">
        <v>6.0000000000000001E-3</v>
      </c>
    </row>
    <row r="374" spans="1:5" x14ac:dyDescent="0.2">
      <c r="A374">
        <v>60</v>
      </c>
      <c r="B374" t="s">
        <v>52</v>
      </c>
      <c r="C374">
        <f t="shared" si="7"/>
        <v>37</v>
      </c>
      <c r="D374" s="40">
        <v>7.1495109418400003E-4</v>
      </c>
      <c r="E374">
        <v>7.0000000000000001E-3</v>
      </c>
    </row>
    <row r="375" spans="1:5" x14ac:dyDescent="0.2">
      <c r="A375">
        <v>60</v>
      </c>
      <c r="B375" t="s">
        <v>52</v>
      </c>
      <c r="C375">
        <f t="shared" si="7"/>
        <v>38</v>
      </c>
      <c r="D375" s="40">
        <v>6.9212543355900004E-4</v>
      </c>
      <c r="E375">
        <v>5.0000000000000001E-3</v>
      </c>
    </row>
    <row r="376" spans="1:5" x14ac:dyDescent="0.2">
      <c r="A376">
        <v>60</v>
      </c>
      <c r="B376" t="s">
        <v>52</v>
      </c>
      <c r="C376">
        <f t="shared" si="7"/>
        <v>39</v>
      </c>
      <c r="D376" s="40">
        <v>6.7052767889799996E-4</v>
      </c>
      <c r="E376">
        <v>4.0000000000000001E-3</v>
      </c>
    </row>
    <row r="377" spans="1:5" x14ac:dyDescent="0.2">
      <c r="A377">
        <v>60</v>
      </c>
      <c r="B377" t="s">
        <v>52</v>
      </c>
      <c r="C377">
        <f t="shared" si="7"/>
        <v>40</v>
      </c>
      <c r="D377" s="40">
        <v>6.5006441701700004E-4</v>
      </c>
      <c r="E377">
        <v>8.9999999999999993E-3</v>
      </c>
    </row>
    <row r="378" spans="1:5" x14ac:dyDescent="0.2">
      <c r="A378">
        <v>60</v>
      </c>
      <c r="B378" t="s">
        <v>52</v>
      </c>
      <c r="C378">
        <f t="shared" si="7"/>
        <v>41</v>
      </c>
      <c r="D378" s="40">
        <v>6.3065138818999998E-4</v>
      </c>
      <c r="E378">
        <v>4.0000000000000001E-3</v>
      </c>
    </row>
    <row r="379" spans="1:5" x14ac:dyDescent="0.2">
      <c r="A379">
        <v>60</v>
      </c>
      <c r="B379" t="s">
        <v>52</v>
      </c>
      <c r="C379">
        <f t="shared" si="7"/>
        <v>42</v>
      </c>
      <c r="D379" s="40">
        <v>6.1221239457699998E-4</v>
      </c>
      <c r="E379">
        <v>8.0000000000000002E-3</v>
      </c>
    </row>
    <row r="380" spans="1:5" x14ac:dyDescent="0.2">
      <c r="A380">
        <v>60</v>
      </c>
      <c r="B380" t="s">
        <v>52</v>
      </c>
      <c r="C380">
        <f t="shared" si="7"/>
        <v>43</v>
      </c>
      <c r="D380" s="40">
        <v>5.9467836121200005E-4</v>
      </c>
      <c r="E380">
        <v>7.0000000000000001E-3</v>
      </c>
    </row>
    <row r="381" spans="1:5" x14ac:dyDescent="0.2">
      <c r="A381">
        <v>60</v>
      </c>
      <c r="B381" t="s">
        <v>52</v>
      </c>
      <c r="C381">
        <f t="shared" si="7"/>
        <v>44</v>
      </c>
      <c r="D381" s="40">
        <v>5.77986525221E-4</v>
      </c>
      <c r="E381">
        <v>5.0000000000000001E-3</v>
      </c>
    </row>
    <row r="382" spans="1:5" x14ac:dyDescent="0.2">
      <c r="A382">
        <v>60</v>
      </c>
      <c r="B382" t="s">
        <v>52</v>
      </c>
      <c r="C382">
        <f t="shared" si="7"/>
        <v>45</v>
      </c>
      <c r="D382" s="40">
        <v>5.6207973327099996E-4</v>
      </c>
      <c r="E382">
        <v>6.0000000000000001E-3</v>
      </c>
    </row>
    <row r="383" spans="1:5" x14ac:dyDescent="0.2">
      <c r="A383">
        <v>60</v>
      </c>
      <c r="B383" t="s">
        <v>52</v>
      </c>
      <c r="C383">
        <f t="shared" si="7"/>
        <v>46</v>
      </c>
      <c r="D383" s="40">
        <v>5.4690583076499996E-4</v>
      </c>
      <c r="E383">
        <v>0.01</v>
      </c>
    </row>
    <row r="384" spans="1:5" x14ac:dyDescent="0.2">
      <c r="A384">
        <v>60</v>
      </c>
      <c r="B384" t="s">
        <v>52</v>
      </c>
      <c r="C384">
        <f t="shared" si="7"/>
        <v>47</v>
      </c>
      <c r="D384" s="40">
        <v>5.3241712908199995E-4</v>
      </c>
      <c r="E384">
        <v>0.01</v>
      </c>
    </row>
    <row r="385" spans="1:5" x14ac:dyDescent="0.2">
      <c r="A385">
        <v>60</v>
      </c>
      <c r="B385" t="s">
        <v>52</v>
      </c>
      <c r="C385">
        <f t="shared" si="7"/>
        <v>48</v>
      </c>
      <c r="D385" s="40">
        <v>5.1856993947899999E-4</v>
      </c>
      <c r="E385">
        <v>5.0000000000000001E-3</v>
      </c>
    </row>
    <row r="386" spans="1:5" x14ac:dyDescent="0.2">
      <c r="A386">
        <v>60</v>
      </c>
      <c r="B386" t="s">
        <v>52</v>
      </c>
      <c r="C386">
        <f t="shared" si="7"/>
        <v>49</v>
      </c>
      <c r="D386" s="40">
        <v>5.0532416410399995E-4</v>
      </c>
      <c r="E386">
        <v>8.9999999999999993E-3</v>
      </c>
    </row>
    <row r="387" spans="1:5" x14ac:dyDescent="0.2">
      <c r="A387">
        <v>60</v>
      </c>
      <c r="B387" t="s">
        <v>52</v>
      </c>
      <c r="C387">
        <f t="shared" si="7"/>
        <v>50</v>
      </c>
      <c r="D387" s="40">
        <v>4.9264293613100003E-4</v>
      </c>
      <c r="E387">
        <v>4.0000000000000001E-3</v>
      </c>
    </row>
    <row r="388" spans="1:5" x14ac:dyDescent="0.2">
      <c r="A388">
        <v>60</v>
      </c>
      <c r="B388" t="s">
        <v>52</v>
      </c>
      <c r="C388">
        <f t="shared" si="7"/>
        <v>51</v>
      </c>
      <c r="D388" s="40">
        <v>4.80492302262E-4</v>
      </c>
      <c r="E388">
        <v>7.0000000000000001E-3</v>
      </c>
    </row>
    <row r="389" spans="1:5" x14ac:dyDescent="0.2">
      <c r="A389">
        <v>60</v>
      </c>
      <c r="B389" t="s">
        <v>52</v>
      </c>
      <c r="C389">
        <f t="shared" si="7"/>
        <v>52</v>
      </c>
      <c r="D389" s="40">
        <v>4.6884094189400001E-4</v>
      </c>
      <c r="E389">
        <v>4.0000000000000001E-3</v>
      </c>
    </row>
    <row r="390" spans="1:5" x14ac:dyDescent="0.2">
      <c r="A390">
        <v>60</v>
      </c>
      <c r="B390" t="s">
        <v>52</v>
      </c>
      <c r="C390">
        <f t="shared" si="7"/>
        <v>53</v>
      </c>
      <c r="D390" s="40">
        <v>4.57659918095E-4</v>
      </c>
      <c r="E390">
        <v>0.01</v>
      </c>
    </row>
    <row r="391" spans="1:5" x14ac:dyDescent="0.2">
      <c r="A391">
        <v>60</v>
      </c>
      <c r="B391" t="s">
        <v>52</v>
      </c>
      <c r="C391">
        <f t="shared" si="7"/>
        <v>54</v>
      </c>
      <c r="D391" s="40">
        <v>4.46922456273E-4</v>
      </c>
      <c r="E391">
        <v>0.01</v>
      </c>
    </row>
    <row r="392" spans="1:5" x14ac:dyDescent="0.2">
      <c r="A392">
        <v>60</v>
      </c>
      <c r="B392" t="s">
        <v>52</v>
      </c>
      <c r="C392">
        <f t="shared" si="7"/>
        <v>55</v>
      </c>
      <c r="D392" s="40">
        <v>4.3660374701800001E-4</v>
      </c>
      <c r="E392">
        <v>5.0000000000000001E-3</v>
      </c>
    </row>
    <row r="393" spans="1:5" x14ac:dyDescent="0.2">
      <c r="A393">
        <v>60</v>
      </c>
      <c r="B393" t="s">
        <v>52</v>
      </c>
      <c r="C393">
        <f t="shared" si="7"/>
        <v>56</v>
      </c>
      <c r="D393" s="40">
        <v>4.2668077006900002E-4</v>
      </c>
      <c r="E393">
        <v>8.9999999999999993E-3</v>
      </c>
    </row>
    <row r="394" spans="1:5" x14ac:dyDescent="0.2">
      <c r="A394">
        <v>60</v>
      </c>
      <c r="B394" t="s">
        <v>52</v>
      </c>
      <c r="C394">
        <f t="shared" si="7"/>
        <v>57</v>
      </c>
      <c r="D394" s="40">
        <v>4.1713213684499998E-4</v>
      </c>
      <c r="E394">
        <v>4.0000000000000001E-3</v>
      </c>
    </row>
    <row r="395" spans="1:5" x14ac:dyDescent="0.2">
      <c r="A395">
        <v>60</v>
      </c>
      <c r="B395" t="s">
        <v>52</v>
      </c>
      <c r="C395">
        <f t="shared" si="7"/>
        <v>58</v>
      </c>
      <c r="D395" s="40">
        <v>4.0793794926899997E-4</v>
      </c>
      <c r="E395">
        <v>7.0000000000000001E-3</v>
      </c>
    </row>
    <row r="396" spans="1:5" x14ac:dyDescent="0.2">
      <c r="A396">
        <v>60</v>
      </c>
      <c r="B396" t="s">
        <v>52</v>
      </c>
      <c r="C396">
        <f t="shared" si="7"/>
        <v>59</v>
      </c>
      <c r="D396" s="40">
        <v>3.9907967297300002E-4</v>
      </c>
      <c r="E396">
        <v>4.0000000000000001E-3</v>
      </c>
    </row>
    <row r="397" spans="1:5" x14ac:dyDescent="0.2">
      <c r="A397">
        <v>60</v>
      </c>
      <c r="B397" t="s">
        <v>52</v>
      </c>
      <c r="C397">
        <f t="shared" si="7"/>
        <v>60</v>
      </c>
      <c r="D397" s="40">
        <v>3.9054002318900002E-4</v>
      </c>
      <c r="E397">
        <v>0.01</v>
      </c>
    </row>
    <row r="398" spans="1:5" x14ac:dyDescent="0.2">
      <c r="A398">
        <v>60</v>
      </c>
      <c r="B398" t="s">
        <v>54</v>
      </c>
      <c r="C398">
        <v>1</v>
      </c>
      <c r="D398" s="40">
        <v>0</v>
      </c>
      <c r="E398">
        <v>8.0000000000000002E-3</v>
      </c>
    </row>
    <row r="399" spans="1:5" x14ac:dyDescent="0.2">
      <c r="A399">
        <v>60</v>
      </c>
      <c r="B399" t="s">
        <v>54</v>
      </c>
      <c r="C399">
        <f>C398+1</f>
        <v>2</v>
      </c>
      <c r="D399" s="40">
        <v>0</v>
      </c>
      <c r="E399">
        <v>0.01</v>
      </c>
    </row>
    <row r="400" spans="1:5" x14ac:dyDescent="0.2">
      <c r="A400">
        <v>60</v>
      </c>
      <c r="B400" t="s">
        <v>54</v>
      </c>
      <c r="C400">
        <f t="shared" ref="C400:C457" si="8">C399+1</f>
        <v>3</v>
      </c>
      <c r="D400" s="40">
        <v>0</v>
      </c>
      <c r="E400">
        <v>8.0000000000000002E-3</v>
      </c>
    </row>
    <row r="401" spans="1:5" x14ac:dyDescent="0.2">
      <c r="A401">
        <v>60</v>
      </c>
      <c r="B401" t="s">
        <v>54</v>
      </c>
      <c r="C401">
        <f t="shared" si="8"/>
        <v>4</v>
      </c>
      <c r="D401" s="40">
        <v>0</v>
      </c>
      <c r="E401">
        <v>8.0000000000000002E-3</v>
      </c>
    </row>
    <row r="402" spans="1:5" x14ac:dyDescent="0.2">
      <c r="A402">
        <v>60</v>
      </c>
      <c r="B402" t="s">
        <v>54</v>
      </c>
      <c r="C402">
        <f t="shared" si="8"/>
        <v>5</v>
      </c>
      <c r="D402" s="40">
        <v>3.3678491323099999E-10</v>
      </c>
      <c r="E402">
        <v>0.01</v>
      </c>
    </row>
    <row r="403" spans="1:5" x14ac:dyDescent="0.2">
      <c r="A403">
        <v>60</v>
      </c>
      <c r="B403" t="s">
        <v>54</v>
      </c>
      <c r="C403">
        <f t="shared" si="8"/>
        <v>6</v>
      </c>
      <c r="D403" s="40">
        <v>1.07642061708E-5</v>
      </c>
      <c r="E403">
        <v>4.0000000000000001E-3</v>
      </c>
    </row>
    <row r="404" spans="1:5" x14ac:dyDescent="0.2">
      <c r="A404">
        <v>60</v>
      </c>
      <c r="B404" t="s">
        <v>54</v>
      </c>
      <c r="C404">
        <f t="shared" si="8"/>
        <v>7</v>
      </c>
      <c r="D404" s="40">
        <v>1.7957699863200001E-4</v>
      </c>
      <c r="E404">
        <v>5.0000000000000001E-3</v>
      </c>
    </row>
    <row r="405" spans="1:5" x14ac:dyDescent="0.2">
      <c r="A405">
        <v>60</v>
      </c>
      <c r="B405" t="s">
        <v>54</v>
      </c>
      <c r="C405">
        <f t="shared" si="8"/>
        <v>8</v>
      </c>
      <c r="D405" s="40">
        <v>7.0827100017900005E-4</v>
      </c>
      <c r="E405">
        <v>7.0000000000000001E-3</v>
      </c>
    </row>
    <row r="406" spans="1:5" x14ac:dyDescent="0.2">
      <c r="A406">
        <v>60</v>
      </c>
      <c r="B406" t="s">
        <v>54</v>
      </c>
      <c r="C406">
        <f t="shared" si="8"/>
        <v>9</v>
      </c>
      <c r="D406" s="40">
        <v>1.5744753603900001E-3</v>
      </c>
      <c r="E406">
        <v>5.0000000000000001E-3</v>
      </c>
    </row>
    <row r="407" spans="1:5" x14ac:dyDescent="0.2">
      <c r="A407">
        <v>60</v>
      </c>
      <c r="B407" t="s">
        <v>54</v>
      </c>
      <c r="C407">
        <f t="shared" si="8"/>
        <v>10</v>
      </c>
      <c r="D407" s="40">
        <v>2.6100111629000001E-3</v>
      </c>
      <c r="E407">
        <v>8.0000000000000002E-3</v>
      </c>
    </row>
    <row r="408" spans="1:5" x14ac:dyDescent="0.2">
      <c r="A408">
        <v>60</v>
      </c>
      <c r="B408" t="s">
        <v>54</v>
      </c>
      <c r="C408">
        <f t="shared" si="8"/>
        <v>11</v>
      </c>
      <c r="D408" s="40">
        <v>3.6430943579400001E-3</v>
      </c>
      <c r="E408">
        <v>6.0000000000000001E-3</v>
      </c>
    </row>
    <row r="409" spans="1:5" x14ac:dyDescent="0.2">
      <c r="A409">
        <v>60</v>
      </c>
      <c r="B409" t="s">
        <v>54</v>
      </c>
      <c r="C409">
        <f t="shared" si="8"/>
        <v>12</v>
      </c>
      <c r="D409" s="40">
        <v>4.5564257478300004E-3</v>
      </c>
      <c r="E409">
        <v>5.0000000000000001E-3</v>
      </c>
    </row>
    <row r="410" spans="1:5" x14ac:dyDescent="0.2">
      <c r="A410">
        <v>60</v>
      </c>
      <c r="B410" t="s">
        <v>54</v>
      </c>
      <c r="C410">
        <f t="shared" si="8"/>
        <v>13</v>
      </c>
      <c r="D410" s="40">
        <v>5.2904440171699998E-3</v>
      </c>
      <c r="E410">
        <v>8.0000000000000002E-3</v>
      </c>
    </row>
    <row r="411" spans="1:5" x14ac:dyDescent="0.2">
      <c r="A411">
        <v>60</v>
      </c>
      <c r="B411" t="s">
        <v>54</v>
      </c>
      <c r="C411">
        <f t="shared" si="8"/>
        <v>14</v>
      </c>
      <c r="D411" s="40">
        <v>5.8281619865300002E-3</v>
      </c>
      <c r="E411">
        <v>5.0000000000000001E-3</v>
      </c>
    </row>
    <row r="412" spans="1:5" x14ac:dyDescent="0.2">
      <c r="A412">
        <v>60</v>
      </c>
      <c r="B412" t="s">
        <v>54</v>
      </c>
      <c r="C412">
        <f t="shared" si="8"/>
        <v>15</v>
      </c>
      <c r="D412" s="40">
        <v>6.1786384811100001E-3</v>
      </c>
      <c r="E412">
        <v>7.0000000000000001E-3</v>
      </c>
    </row>
    <row r="413" spans="1:5" x14ac:dyDescent="0.2">
      <c r="A413">
        <v>60</v>
      </c>
      <c r="B413" t="s">
        <v>54</v>
      </c>
      <c r="C413">
        <f t="shared" si="8"/>
        <v>16</v>
      </c>
      <c r="D413" s="40">
        <v>6.36434138382E-3</v>
      </c>
      <c r="E413">
        <v>5.0000000000000001E-3</v>
      </c>
    </row>
    <row r="414" spans="1:5" x14ac:dyDescent="0.2">
      <c r="A414">
        <v>60</v>
      </c>
      <c r="B414" t="s">
        <v>54</v>
      </c>
      <c r="C414">
        <f t="shared" si="8"/>
        <v>17</v>
      </c>
      <c r="D414" s="40">
        <v>6.4128712540500003E-3</v>
      </c>
      <c r="E414">
        <v>4.0000000000000001E-3</v>
      </c>
    </row>
    <row r="415" spans="1:5" x14ac:dyDescent="0.2">
      <c r="A415">
        <v>60</v>
      </c>
      <c r="B415" t="s">
        <v>54</v>
      </c>
      <c r="C415">
        <f t="shared" si="8"/>
        <v>18</v>
      </c>
      <c r="D415" s="40">
        <v>6.35209526261E-3</v>
      </c>
      <c r="E415">
        <v>8.9999999999999993E-3</v>
      </c>
    </row>
    <row r="416" spans="1:5" x14ac:dyDescent="0.2">
      <c r="A416">
        <v>60</v>
      </c>
      <c r="B416" t="s">
        <v>54</v>
      </c>
      <c r="C416">
        <f t="shared" si="8"/>
        <v>19</v>
      </c>
      <c r="D416" s="40">
        <v>6.20759397137E-3</v>
      </c>
      <c r="E416">
        <v>4.0000000000000001E-3</v>
      </c>
    </row>
    <row r="417" spans="1:5" x14ac:dyDescent="0.2">
      <c r="A417">
        <v>60</v>
      </c>
      <c r="B417" t="s">
        <v>54</v>
      </c>
      <c r="C417">
        <f t="shared" si="8"/>
        <v>20</v>
      </c>
      <c r="D417" s="40">
        <v>6.0015479479199997E-3</v>
      </c>
      <c r="E417">
        <v>8.0000000000000002E-3</v>
      </c>
    </row>
    <row r="418" spans="1:5" x14ac:dyDescent="0.2">
      <c r="A418">
        <v>60</v>
      </c>
      <c r="B418" t="s">
        <v>54</v>
      </c>
      <c r="C418">
        <f t="shared" si="8"/>
        <v>21</v>
      </c>
      <c r="D418" s="40">
        <v>5.75245941529E-3</v>
      </c>
      <c r="E418">
        <v>7.0000000000000001E-3</v>
      </c>
    </row>
    <row r="419" spans="1:5" x14ac:dyDescent="0.2">
      <c r="A419">
        <v>60</v>
      </c>
      <c r="B419" t="s">
        <v>54</v>
      </c>
      <c r="C419">
        <f t="shared" si="8"/>
        <v>22</v>
      </c>
      <c r="D419" s="40">
        <v>5.4753205987200003E-3</v>
      </c>
      <c r="E419">
        <v>5.0000000000000001E-3</v>
      </c>
    </row>
    <row r="420" spans="1:5" x14ac:dyDescent="0.2">
      <c r="A420">
        <v>60</v>
      </c>
      <c r="B420" t="s">
        <v>54</v>
      </c>
      <c r="C420">
        <f t="shared" si="8"/>
        <v>23</v>
      </c>
      <c r="D420" s="40">
        <v>5.1819926026599999E-3</v>
      </c>
      <c r="E420">
        <v>6.0000000000000001E-3</v>
      </c>
    </row>
    <row r="421" spans="1:5" x14ac:dyDescent="0.2">
      <c r="A421">
        <v>60</v>
      </c>
      <c r="B421" t="s">
        <v>54</v>
      </c>
      <c r="C421">
        <f t="shared" si="8"/>
        <v>24</v>
      </c>
      <c r="D421" s="40">
        <v>4.8816582346499996E-3</v>
      </c>
      <c r="E421">
        <v>0.01</v>
      </c>
    </row>
    <row r="422" spans="1:5" x14ac:dyDescent="0.2">
      <c r="A422">
        <v>60</v>
      </c>
      <c r="B422" t="s">
        <v>54</v>
      </c>
      <c r="C422">
        <f t="shared" si="8"/>
        <v>25</v>
      </c>
      <c r="D422" s="40">
        <v>4.5812743928200002E-3</v>
      </c>
      <c r="E422">
        <v>0.01</v>
      </c>
    </row>
    <row r="423" spans="1:5" x14ac:dyDescent="0.2">
      <c r="A423">
        <v>60</v>
      </c>
      <c r="B423" t="s">
        <v>54</v>
      </c>
      <c r="C423">
        <f t="shared" si="8"/>
        <v>26</v>
      </c>
      <c r="D423" s="40">
        <v>4.2859870581699998E-3</v>
      </c>
      <c r="E423">
        <v>5.0000000000000001E-3</v>
      </c>
    </row>
    <row r="424" spans="1:5" x14ac:dyDescent="0.2">
      <c r="A424">
        <v>60</v>
      </c>
      <c r="B424" t="s">
        <v>54</v>
      </c>
      <c r="C424">
        <f t="shared" si="8"/>
        <v>27</v>
      </c>
      <c r="D424" s="40">
        <v>3.9994936207499998E-3</v>
      </c>
      <c r="E424">
        <v>8.9999999999999993E-3</v>
      </c>
    </row>
    <row r="425" spans="1:5" x14ac:dyDescent="0.2">
      <c r="A425">
        <v>60</v>
      </c>
      <c r="B425" t="s">
        <v>54</v>
      </c>
      <c r="C425">
        <f t="shared" si="8"/>
        <v>28</v>
      </c>
      <c r="D425" s="40">
        <v>3.72434927083E-3</v>
      </c>
      <c r="E425">
        <v>4.0000000000000001E-3</v>
      </c>
    </row>
    <row r="426" spans="1:5" x14ac:dyDescent="0.2">
      <c r="A426">
        <v>60</v>
      </c>
      <c r="B426" t="s">
        <v>54</v>
      </c>
      <c r="C426">
        <f t="shared" si="8"/>
        <v>29</v>
      </c>
      <c r="D426" s="40">
        <v>3.4622203842399999E-3</v>
      </c>
      <c r="E426">
        <v>7.0000000000000001E-3</v>
      </c>
    </row>
    <row r="427" spans="1:5" x14ac:dyDescent="0.2">
      <c r="A427">
        <v>60</v>
      </c>
      <c r="B427" t="s">
        <v>54</v>
      </c>
      <c r="C427">
        <f t="shared" si="8"/>
        <v>30</v>
      </c>
      <c r="D427" s="40">
        <v>3.2140906525400001E-3</v>
      </c>
      <c r="E427">
        <v>4.0000000000000001E-3</v>
      </c>
    </row>
    <row r="428" spans="1:5" x14ac:dyDescent="0.2">
      <c r="A428">
        <v>60</v>
      </c>
      <c r="B428" t="s">
        <v>54</v>
      </c>
      <c r="C428">
        <f t="shared" si="8"/>
        <v>31</v>
      </c>
      <c r="D428" s="40">
        <v>2.9804266339199998E-3</v>
      </c>
      <c r="E428">
        <v>0.01</v>
      </c>
    </row>
    <row r="429" spans="1:5" x14ac:dyDescent="0.2">
      <c r="A429">
        <v>60</v>
      </c>
      <c r="B429" t="s">
        <v>54</v>
      </c>
      <c r="C429">
        <f t="shared" si="8"/>
        <v>32</v>
      </c>
      <c r="D429" s="40">
        <v>2.76130931779E-3</v>
      </c>
      <c r="E429">
        <v>4.0000000000000001E-3</v>
      </c>
    </row>
    <row r="430" spans="1:5" x14ac:dyDescent="0.2">
      <c r="A430">
        <v>60</v>
      </c>
      <c r="B430" t="s">
        <v>54</v>
      </c>
      <c r="C430">
        <f t="shared" si="8"/>
        <v>33</v>
      </c>
      <c r="D430" s="40">
        <v>2.55653772374E-3</v>
      </c>
      <c r="E430">
        <v>8.0000000000000002E-3</v>
      </c>
    </row>
    <row r="431" spans="1:5" x14ac:dyDescent="0.2">
      <c r="A431">
        <v>60</v>
      </c>
      <c r="B431" t="s">
        <v>54</v>
      </c>
      <c r="C431">
        <f t="shared" si="8"/>
        <v>34</v>
      </c>
      <c r="D431" s="40">
        <v>2.3657097881899999E-3</v>
      </c>
      <c r="E431">
        <v>8.9999999999999993E-3</v>
      </c>
    </row>
    <row r="432" spans="1:5" x14ac:dyDescent="0.2">
      <c r="A432">
        <v>60</v>
      </c>
      <c r="B432" t="s">
        <v>54</v>
      </c>
      <c r="C432">
        <f t="shared" si="8"/>
        <v>35</v>
      </c>
      <c r="D432" s="40">
        <v>2.1882849910699999E-3</v>
      </c>
      <c r="E432">
        <v>6.0000000000000001E-3</v>
      </c>
    </row>
    <row r="433" spans="1:5" x14ac:dyDescent="0.2">
      <c r="A433">
        <v>60</v>
      </c>
      <c r="B433" t="s">
        <v>54</v>
      </c>
      <c r="C433">
        <f t="shared" si="8"/>
        <v>36</v>
      </c>
      <c r="D433" s="40">
        <v>2.02363242091E-3</v>
      </c>
      <c r="E433">
        <v>6.0000000000000001E-3</v>
      </c>
    </row>
    <row r="434" spans="1:5" x14ac:dyDescent="0.2">
      <c r="A434">
        <v>60</v>
      </c>
      <c r="B434" t="s">
        <v>54</v>
      </c>
      <c r="C434">
        <f t="shared" si="8"/>
        <v>37</v>
      </c>
      <c r="D434" s="40">
        <v>1.8710673076800001E-3</v>
      </c>
      <c r="E434">
        <v>7.0000000000000001E-3</v>
      </c>
    </row>
    <row r="435" spans="1:5" x14ac:dyDescent="0.2">
      <c r="A435">
        <v>60</v>
      </c>
      <c r="B435" t="s">
        <v>54</v>
      </c>
      <c r="C435">
        <f t="shared" si="8"/>
        <v>38</v>
      </c>
      <c r="D435" s="40">
        <v>1.7298784772E-3</v>
      </c>
      <c r="E435">
        <v>5.0000000000000001E-3</v>
      </c>
    </row>
    <row r="436" spans="1:5" x14ac:dyDescent="0.2">
      <c r="A436">
        <v>60</v>
      </c>
      <c r="B436" t="s">
        <v>54</v>
      </c>
      <c r="C436">
        <f t="shared" si="8"/>
        <v>39</v>
      </c>
      <c r="D436" s="40">
        <v>1.5993486998199999E-3</v>
      </c>
      <c r="E436">
        <v>4.0000000000000001E-3</v>
      </c>
    </row>
    <row r="437" spans="1:5" x14ac:dyDescent="0.2">
      <c r="A437">
        <v>60</v>
      </c>
      <c r="B437" t="s">
        <v>54</v>
      </c>
      <c r="C437">
        <f t="shared" si="8"/>
        <v>40</v>
      </c>
      <c r="D437" s="40">
        <v>1.47876950808E-3</v>
      </c>
      <c r="E437">
        <v>8.9999999999999993E-3</v>
      </c>
    </row>
    <row r="438" spans="1:5" x14ac:dyDescent="0.2">
      <c r="A438">
        <v>60</v>
      </c>
      <c r="B438" t="s">
        <v>54</v>
      </c>
      <c r="C438">
        <f t="shared" si="8"/>
        <v>41</v>
      </c>
      <c r="D438" s="40">
        <v>1.3674517341300001E-3</v>
      </c>
      <c r="E438">
        <v>4.0000000000000001E-3</v>
      </c>
    </row>
    <row r="439" spans="1:5" x14ac:dyDescent="0.2">
      <c r="A439">
        <v>60</v>
      </c>
      <c r="B439" t="s">
        <v>54</v>
      </c>
      <c r="C439">
        <f t="shared" si="8"/>
        <v>42</v>
      </c>
      <c r="D439" s="40">
        <v>1.26473275571E-3</v>
      </c>
      <c r="E439">
        <v>8.0000000000000002E-3</v>
      </c>
    </row>
    <row r="440" spans="1:5" x14ac:dyDescent="0.2">
      <c r="A440">
        <v>60</v>
      </c>
      <c r="B440" t="s">
        <v>54</v>
      </c>
      <c r="C440">
        <f t="shared" si="8"/>
        <v>43</v>
      </c>
      <c r="D440" s="40">
        <v>1.1699812292E-3</v>
      </c>
      <c r="E440">
        <v>7.0000000000000001E-3</v>
      </c>
    </row>
    <row r="441" spans="1:5" x14ac:dyDescent="0.2">
      <c r="A441">
        <v>60</v>
      </c>
      <c r="B441" t="s">
        <v>54</v>
      </c>
      <c r="C441">
        <f t="shared" si="8"/>
        <v>44</v>
      </c>
      <c r="D441" s="40">
        <v>1.08259992041E-3</v>
      </c>
      <c r="E441">
        <v>5.0000000000000001E-3</v>
      </c>
    </row>
    <row r="442" spans="1:5" x14ac:dyDescent="0.2">
      <c r="A442">
        <v>60</v>
      </c>
      <c r="B442" t="s">
        <v>54</v>
      </c>
      <c r="C442">
        <f t="shared" si="8"/>
        <v>45</v>
      </c>
      <c r="D442" s="40">
        <v>1.0020271101200001E-3</v>
      </c>
      <c r="E442">
        <v>6.0000000000000001E-3</v>
      </c>
    </row>
    <row r="443" spans="1:5" x14ac:dyDescent="0.2">
      <c r="A443">
        <v>60</v>
      </c>
      <c r="B443" t="s">
        <v>54</v>
      </c>
      <c r="C443">
        <f t="shared" si="8"/>
        <v>46</v>
      </c>
      <c r="D443" s="40">
        <v>9.2773694574100002E-4</v>
      </c>
      <c r="E443">
        <v>0.01</v>
      </c>
    </row>
    <row r="444" spans="1:5" x14ac:dyDescent="0.2">
      <c r="A444">
        <v>60</v>
      </c>
      <c r="B444" t="s">
        <v>54</v>
      </c>
      <c r="C444">
        <f t="shared" si="8"/>
        <v>47</v>
      </c>
      <c r="D444" s="40">
        <v>8.5923902687700001E-4</v>
      </c>
      <c r="E444">
        <v>0.01</v>
      </c>
    </row>
    <row r="445" spans="1:5" x14ac:dyDescent="0.2">
      <c r="A445">
        <v>60</v>
      </c>
      <c r="B445" t="s">
        <v>54</v>
      </c>
      <c r="C445">
        <f t="shared" si="8"/>
        <v>48</v>
      </c>
      <c r="D445" s="40">
        <v>7.9607744666499998E-4</v>
      </c>
      <c r="E445">
        <v>5.0000000000000001E-3</v>
      </c>
    </row>
    <row r="446" spans="1:5" x14ac:dyDescent="0.2">
      <c r="A446">
        <v>60</v>
      </c>
      <c r="B446" t="s">
        <v>54</v>
      </c>
      <c r="C446">
        <f t="shared" si="8"/>
        <v>49</v>
      </c>
      <c r="D446" s="40">
        <v>7.37829459198E-4</v>
      </c>
      <c r="E446">
        <v>8.9999999999999993E-3</v>
      </c>
    </row>
    <row r="447" spans="1:5" x14ac:dyDescent="0.2">
      <c r="A447">
        <v>60</v>
      </c>
      <c r="B447" t="s">
        <v>54</v>
      </c>
      <c r="C447">
        <f t="shared" si="8"/>
        <v>50</v>
      </c>
      <c r="D447" s="40">
        <v>6.8410390272300001E-4</v>
      </c>
      <c r="E447">
        <v>4.0000000000000001E-3</v>
      </c>
    </row>
    <row r="448" spans="1:5" x14ac:dyDescent="0.2">
      <c r="A448">
        <v>60</v>
      </c>
      <c r="B448" t="s">
        <v>54</v>
      </c>
      <c r="C448">
        <f t="shared" si="8"/>
        <v>51</v>
      </c>
      <c r="D448" s="40">
        <v>6.3453947668400004E-4</v>
      </c>
      <c r="E448">
        <v>7.0000000000000001E-3</v>
      </c>
    </row>
    <row r="449" spans="1:5" x14ac:dyDescent="0.2">
      <c r="A449">
        <v>60</v>
      </c>
      <c r="B449" t="s">
        <v>54</v>
      </c>
      <c r="C449">
        <f t="shared" si="8"/>
        <v>52</v>
      </c>
      <c r="D449" s="40">
        <v>5.8880294599000002E-4</v>
      </c>
      <c r="E449">
        <v>4.0000000000000001E-3</v>
      </c>
    </row>
    <row r="450" spans="1:5" x14ac:dyDescent="0.2">
      <c r="A450">
        <v>60</v>
      </c>
      <c r="B450" t="s">
        <v>54</v>
      </c>
      <c r="C450">
        <f t="shared" si="8"/>
        <v>53</v>
      </c>
      <c r="D450" s="40">
        <v>5.4658732672799998E-4</v>
      </c>
      <c r="E450">
        <v>0.01</v>
      </c>
    </row>
    <row r="451" spans="1:5" x14ac:dyDescent="0.2">
      <c r="A451">
        <v>60</v>
      </c>
      <c r="B451" t="s">
        <v>54</v>
      </c>
      <c r="C451">
        <f t="shared" si="8"/>
        <v>54</v>
      </c>
      <c r="D451" s="40">
        <v>5.0761009270300003E-4</v>
      </c>
      <c r="E451">
        <v>0.01</v>
      </c>
    </row>
    <row r="452" spans="1:5" x14ac:dyDescent="0.2">
      <c r="A452">
        <v>60</v>
      </c>
      <c r="B452" t="s">
        <v>54</v>
      </c>
      <c r="C452">
        <f t="shared" si="8"/>
        <v>55</v>
      </c>
      <c r="D452" s="40">
        <v>4.7161143077100002E-4</v>
      </c>
      <c r="E452">
        <v>5.0000000000000001E-3</v>
      </c>
    </row>
    <row r="453" spans="1:5" x14ac:dyDescent="0.2">
      <c r="A453">
        <v>60</v>
      </c>
      <c r="B453" t="s">
        <v>54</v>
      </c>
      <c r="C453">
        <f t="shared" si="8"/>
        <v>56</v>
      </c>
      <c r="D453" s="40">
        <v>4.3835256416199997E-4</v>
      </c>
      <c r="E453">
        <v>8.9999999999999993E-3</v>
      </c>
    </row>
    <row r="454" spans="1:5" x14ac:dyDescent="0.2">
      <c r="A454">
        <v>60</v>
      </c>
      <c r="B454" t="s">
        <v>54</v>
      </c>
      <c r="C454">
        <f t="shared" si="8"/>
        <v>57</v>
      </c>
      <c r="D454" s="40">
        <v>4.0761415632100003E-4</v>
      </c>
      <c r="E454">
        <v>4.0000000000000001E-3</v>
      </c>
    </row>
    <row r="455" spans="1:5" x14ac:dyDescent="0.2">
      <c r="A455">
        <v>60</v>
      </c>
      <c r="B455" t="s">
        <v>54</v>
      </c>
      <c r="C455">
        <f t="shared" si="8"/>
        <v>58</v>
      </c>
      <c r="D455" s="40">
        <v>3.7919480275299999E-4</v>
      </c>
      <c r="E455">
        <v>7.0000000000000001E-3</v>
      </c>
    </row>
    <row r="456" spans="1:5" x14ac:dyDescent="0.2">
      <c r="A456">
        <v>60</v>
      </c>
      <c r="B456" t="s">
        <v>54</v>
      </c>
      <c r="C456">
        <f t="shared" si="8"/>
        <v>59</v>
      </c>
      <c r="D456" s="40">
        <v>3.5290961459700002E-4</v>
      </c>
      <c r="E456">
        <v>4.0000000000000001E-3</v>
      </c>
    </row>
    <row r="457" spans="1:5" x14ac:dyDescent="0.2">
      <c r="A457">
        <v>60</v>
      </c>
      <c r="B457" t="s">
        <v>54</v>
      </c>
      <c r="C457">
        <f t="shared" si="8"/>
        <v>60</v>
      </c>
      <c r="D457" s="40">
        <v>3.2858889484500001E-4</v>
      </c>
      <c r="E457">
        <v>0.01</v>
      </c>
    </row>
    <row r="458" spans="1:5" x14ac:dyDescent="0.2">
      <c r="A458">
        <v>60</v>
      </c>
      <c r="B458" t="s">
        <v>104</v>
      </c>
      <c r="C458">
        <v>1</v>
      </c>
      <c r="D458" s="40">
        <v>1.9879692874670001E-6</v>
      </c>
      <c r="E458">
        <v>8.0000000000000002E-3</v>
      </c>
    </row>
    <row r="459" spans="1:5" x14ac:dyDescent="0.2">
      <c r="A459">
        <v>60</v>
      </c>
      <c r="B459" t="s">
        <v>104</v>
      </c>
      <c r="C459">
        <f>C458+1</f>
        <v>2</v>
      </c>
      <c r="D459" s="40">
        <v>9.3814549514539991E-6</v>
      </c>
      <c r="E459">
        <v>0.01</v>
      </c>
    </row>
    <row r="460" spans="1:5" x14ac:dyDescent="0.2">
      <c r="A460">
        <v>60</v>
      </c>
      <c r="B460" t="s">
        <v>104</v>
      </c>
      <c r="C460">
        <f t="shared" ref="C460:C517" si="9">C459+1</f>
        <v>3</v>
      </c>
      <c r="D460" s="40">
        <v>3.2126855090440001E-5</v>
      </c>
      <c r="E460">
        <v>8.0000000000000002E-3</v>
      </c>
    </row>
    <row r="461" spans="1:5" x14ac:dyDescent="0.2">
      <c r="A461">
        <v>60</v>
      </c>
      <c r="B461" t="s">
        <v>104</v>
      </c>
      <c r="C461">
        <f t="shared" si="9"/>
        <v>4</v>
      </c>
      <c r="D461" s="40">
        <v>8.6824831077520002E-5</v>
      </c>
      <c r="E461">
        <v>8.0000000000000002E-3</v>
      </c>
    </row>
    <row r="462" spans="1:5" x14ac:dyDescent="0.2">
      <c r="A462">
        <v>60</v>
      </c>
      <c r="B462" t="s">
        <v>104</v>
      </c>
      <c r="C462">
        <f t="shared" si="9"/>
        <v>5</v>
      </c>
      <c r="D462" s="40">
        <v>1.9593185782039999E-4</v>
      </c>
      <c r="E462">
        <v>0.01</v>
      </c>
    </row>
    <row r="463" spans="1:5" x14ac:dyDescent="0.2">
      <c r="A463">
        <v>60</v>
      </c>
      <c r="B463" t="s">
        <v>104</v>
      </c>
      <c r="C463">
        <f t="shared" si="9"/>
        <v>6</v>
      </c>
      <c r="D463" s="40">
        <v>3.8407631111779994E-4</v>
      </c>
      <c r="E463">
        <v>4.0000000000000001E-3</v>
      </c>
    </row>
    <row r="464" spans="1:5" x14ac:dyDescent="0.2">
      <c r="A464">
        <v>60</v>
      </c>
      <c r="B464" t="s">
        <v>104</v>
      </c>
      <c r="C464">
        <f t="shared" si="9"/>
        <v>7</v>
      </c>
      <c r="D464" s="40">
        <v>6.7298488488829996E-4</v>
      </c>
      <c r="E464">
        <v>5.0000000000000001E-3</v>
      </c>
    </row>
    <row r="465" spans="1:5" x14ac:dyDescent="0.2">
      <c r="A465">
        <v>60</v>
      </c>
      <c r="B465" t="s">
        <v>104</v>
      </c>
      <c r="C465">
        <f t="shared" si="9"/>
        <v>8</v>
      </c>
      <c r="D465" s="40">
        <v>1.0767286630277001E-3</v>
      </c>
      <c r="E465">
        <v>7.0000000000000001E-3</v>
      </c>
    </row>
    <row r="466" spans="1:5" x14ac:dyDescent="0.2">
      <c r="A466">
        <v>60</v>
      </c>
      <c r="B466" t="s">
        <v>104</v>
      </c>
      <c r="C466">
        <f t="shared" si="9"/>
        <v>9</v>
      </c>
      <c r="D466" s="40">
        <v>1.5986242925725E-3</v>
      </c>
      <c r="E466">
        <v>5.0000000000000001E-3</v>
      </c>
    </row>
    <row r="467" spans="1:5" x14ac:dyDescent="0.2">
      <c r="A467">
        <v>60</v>
      </c>
      <c r="B467" t="s">
        <v>104</v>
      </c>
      <c r="C467">
        <f t="shared" si="9"/>
        <v>10</v>
      </c>
      <c r="D467" s="40">
        <v>2.2303514351140002E-3</v>
      </c>
      <c r="E467">
        <v>8.0000000000000002E-3</v>
      </c>
    </row>
    <row r="468" spans="1:5" x14ac:dyDescent="0.2">
      <c r="A468">
        <v>60</v>
      </c>
      <c r="B468" t="s">
        <v>104</v>
      </c>
      <c r="C468">
        <f t="shared" si="9"/>
        <v>11</v>
      </c>
      <c r="D468" s="40">
        <v>2.9531216304449995E-3</v>
      </c>
      <c r="E468">
        <v>6.0000000000000001E-3</v>
      </c>
    </row>
    <row r="469" spans="1:5" x14ac:dyDescent="0.2">
      <c r="A469">
        <v>60</v>
      </c>
      <c r="B469" t="s">
        <v>104</v>
      </c>
      <c r="C469">
        <f t="shared" si="9"/>
        <v>12</v>
      </c>
      <c r="D469" s="40">
        <v>3.7402877982529994E-3</v>
      </c>
      <c r="E469">
        <v>5.0000000000000001E-3</v>
      </c>
    </row>
    <row r="470" spans="1:5" x14ac:dyDescent="0.2">
      <c r="A470">
        <v>60</v>
      </c>
      <c r="B470" t="s">
        <v>104</v>
      </c>
      <c r="C470">
        <f t="shared" si="9"/>
        <v>13</v>
      </c>
      <c r="D470" s="40">
        <v>4.5606442692869998E-3</v>
      </c>
      <c r="E470">
        <v>8.0000000000000002E-3</v>
      </c>
    </row>
    <row r="471" spans="1:5" x14ac:dyDescent="0.2">
      <c r="A471">
        <v>60</v>
      </c>
      <c r="B471" t="s">
        <v>104</v>
      </c>
      <c r="C471">
        <f t="shared" si="9"/>
        <v>14</v>
      </c>
      <c r="D471" s="40">
        <v>5.3817496779729997E-3</v>
      </c>
      <c r="E471">
        <v>5.0000000000000001E-3</v>
      </c>
    </row>
    <row r="472" spans="1:5" x14ac:dyDescent="0.2">
      <c r="A472">
        <v>60</v>
      </c>
      <c r="B472" t="s">
        <v>104</v>
      </c>
      <c r="C472">
        <f t="shared" si="9"/>
        <v>15</v>
      </c>
      <c r="D472" s="40">
        <v>6.1727985491530002E-3</v>
      </c>
      <c r="E472">
        <v>7.0000000000000001E-3</v>
      </c>
    </row>
    <row r="473" spans="1:5" x14ac:dyDescent="0.2">
      <c r="A473">
        <v>60</v>
      </c>
      <c r="B473" t="s">
        <v>104</v>
      </c>
      <c r="C473">
        <f t="shared" si="9"/>
        <v>16</v>
      </c>
      <c r="D473" s="40">
        <v>6.9067826111390007E-3</v>
      </c>
      <c r="E473">
        <v>5.0000000000000001E-3</v>
      </c>
    </row>
    <row r="474" spans="1:5" x14ac:dyDescent="0.2">
      <c r="A474">
        <v>60</v>
      </c>
      <c r="B474" t="s">
        <v>104</v>
      </c>
      <c r="C474">
        <f t="shared" si="9"/>
        <v>17</v>
      </c>
      <c r="D474" s="40">
        <v>7.5618661141410009E-3</v>
      </c>
      <c r="E474">
        <v>4.0000000000000001E-3</v>
      </c>
    </row>
    <row r="475" spans="1:5" x14ac:dyDescent="0.2">
      <c r="A475">
        <v>60</v>
      </c>
      <c r="B475" t="s">
        <v>104</v>
      </c>
      <c r="C475">
        <f t="shared" si="9"/>
        <v>18</v>
      </c>
      <c r="D475" s="40">
        <v>8.1220287322890002E-3</v>
      </c>
      <c r="E475">
        <v>8.9999999999999993E-3</v>
      </c>
    </row>
    <row r="476" spans="1:5" x14ac:dyDescent="0.2">
      <c r="A476">
        <v>60</v>
      </c>
      <c r="B476" t="s">
        <v>104</v>
      </c>
      <c r="C476">
        <f t="shared" si="9"/>
        <v>19</v>
      </c>
      <c r="D476" s="40">
        <v>8.5771041250390003E-3</v>
      </c>
      <c r="E476">
        <v>4.0000000000000001E-3</v>
      </c>
    </row>
    <row r="477" spans="1:5" x14ac:dyDescent="0.2">
      <c r="A477">
        <v>60</v>
      </c>
      <c r="B477" t="s">
        <v>104</v>
      </c>
      <c r="C477">
        <f t="shared" si="9"/>
        <v>20</v>
      </c>
      <c r="D477" s="40">
        <v>8.9223719685039993E-3</v>
      </c>
      <c r="E477">
        <v>8.0000000000000002E-3</v>
      </c>
    </row>
    <row r="478" spans="1:5" x14ac:dyDescent="0.2">
      <c r="A478">
        <v>60</v>
      </c>
      <c r="B478" t="s">
        <v>104</v>
      </c>
      <c r="C478">
        <f t="shared" si="9"/>
        <v>21</v>
      </c>
      <c r="D478" s="40">
        <v>9.1578597883359997E-3</v>
      </c>
      <c r="E478">
        <v>7.0000000000000001E-3</v>
      </c>
    </row>
    <row r="479" spans="1:5" x14ac:dyDescent="0.2">
      <c r="A479">
        <v>60</v>
      </c>
      <c r="B479" t="s">
        <v>104</v>
      </c>
      <c r="C479">
        <f t="shared" si="9"/>
        <v>22</v>
      </c>
      <c r="D479" s="40">
        <v>9.2874909831359986E-3</v>
      </c>
      <c r="E479">
        <v>5.0000000000000001E-3</v>
      </c>
    </row>
    <row r="480" spans="1:5" x14ac:dyDescent="0.2">
      <c r="A480">
        <v>60</v>
      </c>
      <c r="B480" t="s">
        <v>104</v>
      </c>
      <c r="C480">
        <f t="shared" si="9"/>
        <v>23</v>
      </c>
      <c r="D480" s="40">
        <v>9.3181870642629998E-3</v>
      </c>
      <c r="E480">
        <v>6.0000000000000001E-3</v>
      </c>
    </row>
    <row r="481" spans="1:5" x14ac:dyDescent="0.2">
      <c r="A481">
        <v>60</v>
      </c>
      <c r="B481" t="s">
        <v>104</v>
      </c>
      <c r="C481">
        <f t="shared" si="9"/>
        <v>24</v>
      </c>
      <c r="D481" s="40">
        <v>9.259002270086001E-3</v>
      </c>
      <c r="E481">
        <v>0.01</v>
      </c>
    </row>
    <row r="482" spans="1:5" x14ac:dyDescent="0.2">
      <c r="A482">
        <v>60</v>
      </c>
      <c r="B482" t="s">
        <v>104</v>
      </c>
      <c r="C482">
        <f t="shared" si="9"/>
        <v>25</v>
      </c>
      <c r="D482" s="40">
        <v>9.1203414861010003E-3</v>
      </c>
      <c r="E482">
        <v>0.01</v>
      </c>
    </row>
    <row r="483" spans="1:5" x14ac:dyDescent="0.2">
      <c r="A483">
        <v>60</v>
      </c>
      <c r="B483" t="s">
        <v>104</v>
      </c>
      <c r="C483">
        <f t="shared" si="9"/>
        <v>26</v>
      </c>
      <c r="D483" s="40">
        <v>8.913289856935E-3</v>
      </c>
      <c r="E483">
        <v>5.0000000000000001E-3</v>
      </c>
    </row>
    <row r="484" spans="1:5" x14ac:dyDescent="0.2">
      <c r="A484">
        <v>60</v>
      </c>
      <c r="B484" t="s">
        <v>104</v>
      </c>
      <c r="C484">
        <f t="shared" si="9"/>
        <v>27</v>
      </c>
      <c r="D484" s="40">
        <v>8.6490652088150009E-3</v>
      </c>
      <c r="E484">
        <v>8.9999999999999993E-3</v>
      </c>
    </row>
    <row r="485" spans="1:5" x14ac:dyDescent="0.2">
      <c r="A485">
        <v>60</v>
      </c>
      <c r="B485" t="s">
        <v>104</v>
      </c>
      <c r="C485">
        <f t="shared" si="9"/>
        <v>28</v>
      </c>
      <c r="D485" s="40">
        <v>8.338592144879E-3</v>
      </c>
      <c r="E485">
        <v>4.0000000000000001E-3</v>
      </c>
    </row>
    <row r="486" spans="1:5" x14ac:dyDescent="0.2">
      <c r="A486">
        <v>60</v>
      </c>
      <c r="B486" t="s">
        <v>104</v>
      </c>
      <c r="C486">
        <f t="shared" si="9"/>
        <v>29</v>
      </c>
      <c r="D486" s="40">
        <v>7.992188712668E-3</v>
      </c>
      <c r="E486">
        <v>7.0000000000000001E-3</v>
      </c>
    </row>
    <row r="487" spans="1:5" x14ac:dyDescent="0.2">
      <c r="A487">
        <v>60</v>
      </c>
      <c r="B487" t="s">
        <v>104</v>
      </c>
      <c r="C487">
        <f t="shared" si="9"/>
        <v>30</v>
      </c>
      <c r="D487" s="40">
        <v>7.6193519941250001E-3</v>
      </c>
      <c r="E487">
        <v>4.0000000000000001E-3</v>
      </c>
    </row>
    <row r="488" spans="1:5" x14ac:dyDescent="0.2">
      <c r="A488">
        <v>60</v>
      </c>
      <c r="B488" t="s">
        <v>104</v>
      </c>
      <c r="C488">
        <f t="shared" si="9"/>
        <v>31</v>
      </c>
      <c r="D488" s="40">
        <v>7.2286269659799993E-3</v>
      </c>
      <c r="E488">
        <v>0.01</v>
      </c>
    </row>
    <row r="489" spans="1:5" x14ac:dyDescent="0.2">
      <c r="A489">
        <v>60</v>
      </c>
      <c r="B489" t="s">
        <v>104</v>
      </c>
      <c r="C489">
        <f t="shared" si="9"/>
        <v>32</v>
      </c>
      <c r="D489" s="40">
        <v>6.8275427522319996E-3</v>
      </c>
      <c r="E489">
        <v>4.0000000000000001E-3</v>
      </c>
    </row>
    <row r="490" spans="1:5" x14ac:dyDescent="0.2">
      <c r="A490">
        <v>60</v>
      </c>
      <c r="B490" t="s">
        <v>104</v>
      </c>
      <c r="C490">
        <f t="shared" si="9"/>
        <v>33</v>
      </c>
      <c r="D490" s="40">
        <v>6.4226013144739998E-3</v>
      </c>
      <c r="E490">
        <v>8.0000000000000002E-3</v>
      </c>
    </row>
    <row r="491" spans="1:5" x14ac:dyDescent="0.2">
      <c r="A491">
        <v>60</v>
      </c>
      <c r="B491" t="s">
        <v>104</v>
      </c>
      <c r="C491">
        <f t="shared" si="9"/>
        <v>34</v>
      </c>
      <c r="D491" s="40">
        <v>6.0193052158509994E-3</v>
      </c>
      <c r="E491">
        <v>8.9999999999999993E-3</v>
      </c>
    </row>
    <row r="492" spans="1:5" x14ac:dyDescent="0.2">
      <c r="A492">
        <v>60</v>
      </c>
      <c r="B492" t="s">
        <v>104</v>
      </c>
      <c r="C492">
        <f t="shared" si="9"/>
        <v>35</v>
      </c>
      <c r="D492" s="40">
        <v>5.6222129957210001E-3</v>
      </c>
      <c r="E492">
        <v>6.0000000000000001E-3</v>
      </c>
    </row>
    <row r="493" spans="1:5" x14ac:dyDescent="0.2">
      <c r="A493">
        <v>60</v>
      </c>
      <c r="B493" t="s">
        <v>104</v>
      </c>
      <c r="C493">
        <f t="shared" si="9"/>
        <v>36</v>
      </c>
      <c r="D493" s="40">
        <v>5.2350126643949998E-3</v>
      </c>
      <c r="E493">
        <v>6.0000000000000001E-3</v>
      </c>
    </row>
    <row r="494" spans="1:5" x14ac:dyDescent="0.2">
      <c r="A494">
        <v>60</v>
      </c>
      <c r="B494" t="s">
        <v>104</v>
      </c>
      <c r="C494">
        <f t="shared" si="9"/>
        <v>37</v>
      </c>
      <c r="D494" s="40">
        <v>4.8606057100139995E-3</v>
      </c>
      <c r="E494">
        <v>7.0000000000000001E-3</v>
      </c>
    </row>
    <row r="495" spans="1:5" x14ac:dyDescent="0.2">
      <c r="A495">
        <v>60</v>
      </c>
      <c r="B495" t="s">
        <v>104</v>
      </c>
      <c r="C495">
        <f t="shared" si="9"/>
        <v>38</v>
      </c>
      <c r="D495" s="40">
        <v>4.5011957160809996E-3</v>
      </c>
      <c r="E495">
        <v>5.0000000000000001E-3</v>
      </c>
    </row>
    <row r="496" spans="1:5" x14ac:dyDescent="0.2">
      <c r="A496">
        <v>60</v>
      </c>
      <c r="B496" t="s">
        <v>104</v>
      </c>
      <c r="C496">
        <f t="shared" si="9"/>
        <v>39</v>
      </c>
      <c r="D496" s="40">
        <v>4.158377168526E-3</v>
      </c>
      <c r="E496">
        <v>4.0000000000000001E-3</v>
      </c>
    </row>
    <row r="497" spans="1:5" x14ac:dyDescent="0.2">
      <c r="A497">
        <v>60</v>
      </c>
      <c r="B497" t="s">
        <v>104</v>
      </c>
      <c r="C497">
        <f t="shared" si="9"/>
        <v>40</v>
      </c>
      <c r="D497" s="40">
        <v>3.8332212779110001E-3</v>
      </c>
      <c r="E497">
        <v>8.9999999999999993E-3</v>
      </c>
    </row>
    <row r="498" spans="1:5" x14ac:dyDescent="0.2">
      <c r="A498">
        <v>60</v>
      </c>
      <c r="B498" t="s">
        <v>104</v>
      </c>
      <c r="C498">
        <f t="shared" si="9"/>
        <v>41</v>
      </c>
      <c r="D498" s="40">
        <v>3.526356658421E-3</v>
      </c>
      <c r="E498">
        <v>4.0000000000000001E-3</v>
      </c>
    </row>
    <row r="499" spans="1:5" x14ac:dyDescent="0.2">
      <c r="A499">
        <v>60</v>
      </c>
      <c r="B499" t="s">
        <v>104</v>
      </c>
      <c r="C499">
        <f t="shared" si="9"/>
        <v>42</v>
      </c>
      <c r="D499" s="40">
        <v>3.2380435133479999E-3</v>
      </c>
      <c r="E499">
        <v>8.0000000000000002E-3</v>
      </c>
    </row>
    <row r="500" spans="1:5" x14ac:dyDescent="0.2">
      <c r="A500">
        <v>60</v>
      </c>
      <c r="B500" t="s">
        <v>104</v>
      </c>
      <c r="C500">
        <f t="shared" si="9"/>
        <v>43</v>
      </c>
      <c r="D500" s="40">
        <v>2.9682406015929998E-3</v>
      </c>
      <c r="E500">
        <v>7.0000000000000001E-3</v>
      </c>
    </row>
    <row r="501" spans="1:5" x14ac:dyDescent="0.2">
      <c r="A501">
        <v>60</v>
      </c>
      <c r="B501" t="s">
        <v>104</v>
      </c>
      <c r="C501">
        <f t="shared" si="9"/>
        <v>44</v>
      </c>
      <c r="D501" s="40">
        <v>2.7166647274149999E-3</v>
      </c>
      <c r="E501">
        <v>5.0000000000000001E-3</v>
      </c>
    </row>
    <row r="502" spans="1:5" x14ac:dyDescent="0.2">
      <c r="A502">
        <v>60</v>
      </c>
      <c r="B502" t="s">
        <v>104</v>
      </c>
      <c r="C502">
        <f t="shared" si="9"/>
        <v>45</v>
      </c>
      <c r="D502" s="40">
        <v>2.4828428363359999E-3</v>
      </c>
      <c r="E502">
        <v>6.0000000000000001E-3</v>
      </c>
    </row>
    <row r="503" spans="1:5" x14ac:dyDescent="0.2">
      <c r="A503">
        <v>60</v>
      </c>
      <c r="B503" t="s">
        <v>104</v>
      </c>
      <c r="C503">
        <f t="shared" si="9"/>
        <v>46</v>
      </c>
      <c r="D503" s="40">
        <v>2.2661570348639997E-3</v>
      </c>
      <c r="E503">
        <v>0.01</v>
      </c>
    </row>
    <row r="504" spans="1:5" x14ac:dyDescent="0.2">
      <c r="A504">
        <v>60</v>
      </c>
      <c r="B504" t="s">
        <v>104</v>
      </c>
      <c r="C504">
        <f t="shared" si="9"/>
        <v>47</v>
      </c>
      <c r="D504" s="40">
        <v>2.065883005903E-3</v>
      </c>
      <c r="E504">
        <v>0.01</v>
      </c>
    </row>
    <row r="505" spans="1:5" x14ac:dyDescent="0.2">
      <c r="A505">
        <v>60</v>
      </c>
      <c r="B505" t="s">
        <v>104</v>
      </c>
      <c r="C505">
        <f t="shared" si="9"/>
        <v>48</v>
      </c>
      <c r="D505" s="40">
        <v>1.8812223822949998E-3</v>
      </c>
      <c r="E505">
        <v>5.0000000000000001E-3</v>
      </c>
    </row>
    <row r="506" spans="1:5" x14ac:dyDescent="0.2">
      <c r="A506">
        <v>60</v>
      </c>
      <c r="B506" t="s">
        <v>104</v>
      </c>
      <c r="C506">
        <f t="shared" si="9"/>
        <v>49</v>
      </c>
      <c r="D506" s="40">
        <v>1.7113296836090001E-3</v>
      </c>
      <c r="E506">
        <v>8.9999999999999993E-3</v>
      </c>
    </row>
    <row r="507" spans="1:5" x14ac:dyDescent="0.2">
      <c r="A507">
        <v>60</v>
      </c>
      <c r="B507" t="s">
        <v>104</v>
      </c>
      <c r="C507">
        <f t="shared" si="9"/>
        <v>50</v>
      </c>
      <c r="D507" s="40">
        <v>1.5553344305434E-3</v>
      </c>
      <c r="E507">
        <v>4.0000000000000001E-3</v>
      </c>
    </row>
    <row r="508" spans="1:5" x14ac:dyDescent="0.2">
      <c r="A508">
        <v>60</v>
      </c>
      <c r="B508" t="s">
        <v>104</v>
      </c>
      <c r="C508">
        <f t="shared" si="9"/>
        <v>51</v>
      </c>
      <c r="D508" s="40">
        <v>1.4123590350578999E-3</v>
      </c>
      <c r="E508">
        <v>7.0000000000000001E-3</v>
      </c>
    </row>
    <row r="509" spans="1:5" x14ac:dyDescent="0.2">
      <c r="A509">
        <v>60</v>
      </c>
      <c r="B509" t="s">
        <v>104</v>
      </c>
      <c r="C509">
        <f t="shared" si="9"/>
        <v>52</v>
      </c>
      <c r="D509" s="40">
        <v>1.2815330327684E-3</v>
      </c>
      <c r="E509">
        <v>4.0000000000000001E-3</v>
      </c>
    </row>
    <row r="510" spans="1:5" x14ac:dyDescent="0.2">
      <c r="A510">
        <v>60</v>
      </c>
      <c r="B510" t="s">
        <v>104</v>
      </c>
      <c r="C510">
        <f t="shared" si="9"/>
        <v>53</v>
      </c>
      <c r="D510" s="40">
        <v>1.1620041818151999E-3</v>
      </c>
      <c r="E510">
        <v>0.01</v>
      </c>
    </row>
    <row r="511" spans="1:5" x14ac:dyDescent="0.2">
      <c r="A511">
        <v>60</v>
      </c>
      <c r="B511" t="s">
        <v>104</v>
      </c>
      <c r="C511">
        <f t="shared" si="9"/>
        <v>54</v>
      </c>
      <c r="D511" s="40">
        <v>1.0529469050817E-3</v>
      </c>
      <c r="E511">
        <v>0.01</v>
      </c>
    </row>
    <row r="512" spans="1:5" x14ac:dyDescent="0.2">
      <c r="A512">
        <v>60</v>
      </c>
      <c r="B512" t="s">
        <v>104</v>
      </c>
      <c r="C512">
        <f t="shared" si="9"/>
        <v>55</v>
      </c>
      <c r="D512" s="40">
        <v>9.5356850293449994E-4</v>
      </c>
      <c r="E512">
        <v>5.0000000000000001E-3</v>
      </c>
    </row>
    <row r="513" spans="1:5" x14ac:dyDescent="0.2">
      <c r="A513">
        <v>60</v>
      </c>
      <c r="B513" t="s">
        <v>104</v>
      </c>
      <c r="C513">
        <f t="shared" si="9"/>
        <v>56</v>
      </c>
      <c r="D513" s="40">
        <v>8.6311351442209996E-4</v>
      </c>
      <c r="E513">
        <v>8.9999999999999993E-3</v>
      </c>
    </row>
    <row r="514" spans="1:5" x14ac:dyDescent="0.2">
      <c r="A514">
        <v>60</v>
      </c>
      <c r="B514" t="s">
        <v>104</v>
      </c>
      <c r="C514">
        <f t="shared" si="9"/>
        <v>57</v>
      </c>
      <c r="D514" s="40">
        <v>7.8086655753459994E-4</v>
      </c>
      <c r="E514">
        <v>4.0000000000000001E-3</v>
      </c>
    </row>
    <row r="515" spans="1:5" x14ac:dyDescent="0.2">
      <c r="A515">
        <v>60</v>
      </c>
      <c r="B515" t="s">
        <v>104</v>
      </c>
      <c r="C515">
        <f t="shared" si="9"/>
        <v>58</v>
      </c>
      <c r="D515" s="40">
        <v>7.061539348706999E-4</v>
      </c>
      <c r="E515">
        <v>7.0000000000000001E-3</v>
      </c>
    </row>
    <row r="516" spans="1:5" x14ac:dyDescent="0.2">
      <c r="A516">
        <v>60</v>
      </c>
      <c r="B516" t="s">
        <v>104</v>
      </c>
      <c r="C516">
        <f t="shared" si="9"/>
        <v>59</v>
      </c>
      <c r="D516" s="40">
        <v>6.3834425034839989E-4</v>
      </c>
      <c r="E516">
        <v>4.0000000000000001E-3</v>
      </c>
    </row>
    <row r="517" spans="1:5" x14ac:dyDescent="0.2">
      <c r="A517">
        <v>60</v>
      </c>
      <c r="B517" t="s">
        <v>104</v>
      </c>
      <c r="C517">
        <f t="shared" si="9"/>
        <v>60</v>
      </c>
      <c r="D517" s="40">
        <v>5.7684824589110005E-4</v>
      </c>
      <c r="E517">
        <v>0.01</v>
      </c>
    </row>
    <row r="518" spans="1:5" x14ac:dyDescent="0.2">
      <c r="A518">
        <v>60</v>
      </c>
      <c r="B518" t="s">
        <v>53</v>
      </c>
      <c r="C518">
        <v>1</v>
      </c>
      <c r="D518" s="40">
        <v>0</v>
      </c>
      <c r="E518">
        <v>0.01</v>
      </c>
    </row>
    <row r="519" spans="1:5" x14ac:dyDescent="0.2">
      <c r="A519">
        <v>60</v>
      </c>
      <c r="B519" t="s">
        <v>53</v>
      </c>
      <c r="C519">
        <f>C518+1</f>
        <v>2</v>
      </c>
      <c r="D519" s="40">
        <v>0</v>
      </c>
      <c r="E519">
        <v>8.0000000000000002E-3</v>
      </c>
    </row>
    <row r="520" spans="1:5" x14ac:dyDescent="0.2">
      <c r="A520">
        <v>60</v>
      </c>
      <c r="B520" t="s">
        <v>53</v>
      </c>
      <c r="C520">
        <f t="shared" ref="C520:C577" si="10">C519+1</f>
        <v>3</v>
      </c>
      <c r="D520" s="40">
        <v>4.0671633845500001E-10</v>
      </c>
      <c r="E520">
        <v>0.01</v>
      </c>
    </row>
    <row r="521" spans="1:5" x14ac:dyDescent="0.2">
      <c r="A521">
        <v>60</v>
      </c>
      <c r="B521" t="s">
        <v>53</v>
      </c>
      <c r="C521">
        <f t="shared" si="10"/>
        <v>4</v>
      </c>
      <c r="D521" s="40">
        <v>3.4879175748099999E-6</v>
      </c>
      <c r="E521">
        <v>8.0000000000000002E-3</v>
      </c>
    </row>
    <row r="522" spans="1:5" x14ac:dyDescent="0.2">
      <c r="A522">
        <v>60</v>
      </c>
      <c r="B522" t="s">
        <v>53</v>
      </c>
      <c r="C522">
        <f t="shared" si="10"/>
        <v>5</v>
      </c>
      <c r="D522" s="40">
        <v>6.4985749962899998E-5</v>
      </c>
      <c r="E522">
        <v>8.0000000000000002E-3</v>
      </c>
    </row>
    <row r="523" spans="1:5" x14ac:dyDescent="0.2">
      <c r="A523">
        <v>60</v>
      </c>
      <c r="B523" t="s">
        <v>53</v>
      </c>
      <c r="C523">
        <f t="shared" si="10"/>
        <v>6</v>
      </c>
      <c r="D523" s="40">
        <v>2.95515260607E-4</v>
      </c>
      <c r="E523">
        <v>0.01</v>
      </c>
    </row>
    <row r="524" spans="1:5" x14ac:dyDescent="0.2">
      <c r="A524">
        <v>60</v>
      </c>
      <c r="B524" t="s">
        <v>53</v>
      </c>
      <c r="C524">
        <f t="shared" si="10"/>
        <v>7</v>
      </c>
      <c r="D524" s="40">
        <v>7.43306531606E-4</v>
      </c>
      <c r="E524">
        <v>4.0000000000000001E-3</v>
      </c>
    </row>
    <row r="525" spans="1:5" x14ac:dyDescent="0.2">
      <c r="A525">
        <v>60</v>
      </c>
      <c r="B525" t="s">
        <v>53</v>
      </c>
      <c r="C525">
        <f t="shared" si="10"/>
        <v>8</v>
      </c>
      <c r="D525" s="40">
        <v>1.36748149779E-3</v>
      </c>
      <c r="E525">
        <v>5.0000000000000001E-3</v>
      </c>
    </row>
    <row r="526" spans="1:5" x14ac:dyDescent="0.2">
      <c r="A526">
        <v>60</v>
      </c>
      <c r="B526" t="s">
        <v>53</v>
      </c>
      <c r="C526">
        <f t="shared" si="10"/>
        <v>9</v>
      </c>
      <c r="D526" s="40">
        <v>2.0855712539400001E-3</v>
      </c>
      <c r="E526">
        <v>7.0000000000000001E-3</v>
      </c>
    </row>
    <row r="527" spans="1:5" x14ac:dyDescent="0.2">
      <c r="A527">
        <v>60</v>
      </c>
      <c r="B527" t="s">
        <v>53</v>
      </c>
      <c r="C527">
        <f t="shared" si="10"/>
        <v>10</v>
      </c>
      <c r="D527" s="40">
        <v>2.81544981379E-3</v>
      </c>
      <c r="E527">
        <v>5.0000000000000001E-3</v>
      </c>
    </row>
    <row r="528" spans="1:5" x14ac:dyDescent="0.2">
      <c r="A528">
        <v>60</v>
      </c>
      <c r="B528" t="s">
        <v>53</v>
      </c>
      <c r="C528">
        <f t="shared" si="10"/>
        <v>11</v>
      </c>
      <c r="D528" s="40">
        <v>3.49456439456E-3</v>
      </c>
      <c r="E528">
        <v>8.0000000000000002E-3</v>
      </c>
    </row>
    <row r="529" spans="1:5" x14ac:dyDescent="0.2">
      <c r="A529">
        <v>60</v>
      </c>
      <c r="B529" t="s">
        <v>53</v>
      </c>
      <c r="C529">
        <f t="shared" si="10"/>
        <v>12</v>
      </c>
      <c r="D529" s="40">
        <v>4.0836457666300003E-3</v>
      </c>
      <c r="E529">
        <v>6.0000000000000001E-3</v>
      </c>
    </row>
    <row r="530" spans="1:5" x14ac:dyDescent="0.2">
      <c r="A530">
        <v>60</v>
      </c>
      <c r="B530" t="s">
        <v>53</v>
      </c>
      <c r="C530">
        <f t="shared" si="10"/>
        <v>13</v>
      </c>
      <c r="D530" s="40">
        <v>4.5633563605099996E-3</v>
      </c>
      <c r="E530">
        <v>5.0000000000000001E-3</v>
      </c>
    </row>
    <row r="531" spans="1:5" x14ac:dyDescent="0.2">
      <c r="A531">
        <v>60</v>
      </c>
      <c r="B531" t="s">
        <v>53</v>
      </c>
      <c r="C531">
        <f t="shared" si="10"/>
        <v>14</v>
      </c>
      <c r="D531" s="40">
        <v>4.9289301029300002E-3</v>
      </c>
      <c r="E531">
        <v>8.0000000000000002E-3</v>
      </c>
    </row>
    <row r="532" spans="1:5" x14ac:dyDescent="0.2">
      <c r="A532">
        <v>60</v>
      </c>
      <c r="B532" t="s">
        <v>53</v>
      </c>
      <c r="C532">
        <f t="shared" si="10"/>
        <v>15</v>
      </c>
      <c r="D532" s="40">
        <v>5.1851041952899997E-3</v>
      </c>
      <c r="E532">
        <v>5.0000000000000001E-3</v>
      </c>
    </row>
    <row r="533" spans="1:5" x14ac:dyDescent="0.2">
      <c r="A533">
        <v>60</v>
      </c>
      <c r="B533" t="s">
        <v>53</v>
      </c>
      <c r="C533">
        <f t="shared" si="10"/>
        <v>16</v>
      </c>
      <c r="D533" s="40">
        <v>5.3421177107800004E-3</v>
      </c>
      <c r="E533">
        <v>7.0000000000000001E-3</v>
      </c>
    </row>
    <row r="534" spans="1:5" x14ac:dyDescent="0.2">
      <c r="A534">
        <v>60</v>
      </c>
      <c r="B534" t="s">
        <v>53</v>
      </c>
      <c r="C534">
        <f t="shared" si="10"/>
        <v>17</v>
      </c>
      <c r="D534" s="40">
        <v>5.4128549206499997E-3</v>
      </c>
      <c r="E534">
        <v>5.0000000000000001E-3</v>
      </c>
    </row>
    <row r="535" spans="1:5" x14ac:dyDescent="0.2">
      <c r="A535">
        <v>60</v>
      </c>
      <c r="B535" t="s">
        <v>53</v>
      </c>
      <c r="C535">
        <f t="shared" si="10"/>
        <v>18</v>
      </c>
      <c r="D535" s="40">
        <v>5.41095274594E-3</v>
      </c>
      <c r="E535">
        <v>4.0000000000000001E-3</v>
      </c>
    </row>
    <row r="536" spans="1:5" x14ac:dyDescent="0.2">
      <c r="A536">
        <v>60</v>
      </c>
      <c r="B536" t="s">
        <v>53</v>
      </c>
      <c r="C536">
        <f t="shared" si="10"/>
        <v>19</v>
      </c>
      <c r="D536" s="40">
        <v>5.3496346388600003E-3</v>
      </c>
      <c r="E536">
        <v>8.9999999999999993E-3</v>
      </c>
    </row>
    <row r="537" spans="1:5" x14ac:dyDescent="0.2">
      <c r="A537">
        <v>60</v>
      </c>
      <c r="B537" t="s">
        <v>53</v>
      </c>
      <c r="C537">
        <f t="shared" si="10"/>
        <v>20</v>
      </c>
      <c r="D537" s="40">
        <v>5.2410556041600003E-3</v>
      </c>
      <c r="E537">
        <v>4.0000000000000001E-3</v>
      </c>
    </row>
    <row r="538" spans="1:5" x14ac:dyDescent="0.2">
      <c r="A538">
        <v>60</v>
      </c>
      <c r="B538" t="s">
        <v>53</v>
      </c>
      <c r="C538">
        <f t="shared" si="10"/>
        <v>21</v>
      </c>
      <c r="D538" s="40">
        <v>5.09598863889E-3</v>
      </c>
      <c r="E538">
        <v>8.0000000000000002E-3</v>
      </c>
    </row>
    <row r="539" spans="1:5" x14ac:dyDescent="0.2">
      <c r="A539">
        <v>60</v>
      </c>
      <c r="B539" t="s">
        <v>53</v>
      </c>
      <c r="C539">
        <f t="shared" si="10"/>
        <v>22</v>
      </c>
      <c r="D539" s="40">
        <v>4.9237283834399998E-3</v>
      </c>
      <c r="E539">
        <v>7.0000000000000001E-3</v>
      </c>
    </row>
    <row r="540" spans="1:5" x14ac:dyDescent="0.2">
      <c r="A540">
        <v>60</v>
      </c>
      <c r="B540" t="s">
        <v>53</v>
      </c>
      <c r="C540">
        <f t="shared" si="10"/>
        <v>23</v>
      </c>
      <c r="D540" s="40">
        <v>4.7321254082999999E-3</v>
      </c>
      <c r="E540">
        <v>5.0000000000000001E-3</v>
      </c>
    </row>
    <row r="541" spans="1:5" x14ac:dyDescent="0.2">
      <c r="A541">
        <v>60</v>
      </c>
      <c r="B541" t="s">
        <v>53</v>
      </c>
      <c r="C541">
        <f t="shared" si="10"/>
        <v>24</v>
      </c>
      <c r="D541" s="40">
        <v>4.5276930275899999E-3</v>
      </c>
      <c r="E541">
        <v>6.0000000000000001E-3</v>
      </c>
    </row>
    <row r="542" spans="1:5" x14ac:dyDescent="0.2">
      <c r="A542">
        <v>60</v>
      </c>
      <c r="B542" t="s">
        <v>53</v>
      </c>
      <c r="C542">
        <f t="shared" si="10"/>
        <v>25</v>
      </c>
      <c r="D542" s="40">
        <v>4.3157489646400002E-3</v>
      </c>
      <c r="E542">
        <v>0.01</v>
      </c>
    </row>
    <row r="543" spans="1:5" x14ac:dyDescent="0.2">
      <c r="A543">
        <v>60</v>
      </c>
      <c r="B543" t="s">
        <v>53</v>
      </c>
      <c r="C543">
        <f t="shared" si="10"/>
        <v>26</v>
      </c>
      <c r="D543" s="40">
        <v>4.10056834591E-3</v>
      </c>
      <c r="E543">
        <v>0.01</v>
      </c>
    </row>
    <row r="544" spans="1:5" x14ac:dyDescent="0.2">
      <c r="A544">
        <v>60</v>
      </c>
      <c r="B544" t="s">
        <v>53</v>
      </c>
      <c r="C544">
        <f t="shared" si="10"/>
        <v>27</v>
      </c>
      <c r="D544" s="40">
        <v>3.8855340266800002E-3</v>
      </c>
      <c r="E544">
        <v>5.0000000000000001E-3</v>
      </c>
    </row>
    <row r="545" spans="1:5" x14ac:dyDescent="0.2">
      <c r="A545">
        <v>60</v>
      </c>
      <c r="B545" t="s">
        <v>53</v>
      </c>
      <c r="C545">
        <f t="shared" si="10"/>
        <v>28</v>
      </c>
      <c r="D545" s="40">
        <v>3.6732765044200002E-3</v>
      </c>
      <c r="E545">
        <v>8.9999999999999993E-3</v>
      </c>
    </row>
    <row r="546" spans="1:5" x14ac:dyDescent="0.2">
      <c r="A546">
        <v>60</v>
      </c>
      <c r="B546" t="s">
        <v>53</v>
      </c>
      <c r="C546">
        <f t="shared" si="10"/>
        <v>29</v>
      </c>
      <c r="D546" s="40">
        <v>3.4657996701900002E-3</v>
      </c>
      <c r="E546">
        <v>4.0000000000000001E-3</v>
      </c>
    </row>
    <row r="547" spans="1:5" x14ac:dyDescent="0.2">
      <c r="A547">
        <v>60</v>
      </c>
      <c r="B547" t="s">
        <v>53</v>
      </c>
      <c r="C547">
        <f t="shared" si="10"/>
        <v>30</v>
      </c>
      <c r="D547" s="40">
        <v>3.2645911212E-3</v>
      </c>
      <c r="E547">
        <v>7.0000000000000001E-3</v>
      </c>
    </row>
    <row r="548" spans="1:5" x14ac:dyDescent="0.2">
      <c r="A548">
        <v>60</v>
      </c>
      <c r="B548" t="s">
        <v>53</v>
      </c>
      <c r="C548">
        <f t="shared" si="10"/>
        <v>31</v>
      </c>
      <c r="D548" s="40">
        <v>3.07071722168E-3</v>
      </c>
      <c r="E548">
        <v>4.0000000000000001E-3</v>
      </c>
    </row>
    <row r="549" spans="1:5" x14ac:dyDescent="0.2">
      <c r="A549">
        <v>60</v>
      </c>
      <c r="B549" t="s">
        <v>53</v>
      </c>
      <c r="C549">
        <f t="shared" si="10"/>
        <v>32</v>
      </c>
      <c r="D549" s="40">
        <v>2.8849039105499998E-3</v>
      </c>
      <c r="E549">
        <v>0.01</v>
      </c>
    </row>
    <row r="550" spans="1:5" x14ac:dyDescent="0.2">
      <c r="A550">
        <v>60</v>
      </c>
      <c r="B550" t="s">
        <v>53</v>
      </c>
      <c r="C550">
        <f t="shared" si="10"/>
        <v>33</v>
      </c>
      <c r="D550" s="40">
        <v>2.70760465024E-3</v>
      </c>
      <c r="E550">
        <v>4.0000000000000001E-3</v>
      </c>
    </row>
    <row r="551" spans="1:5" x14ac:dyDescent="0.2">
      <c r="A551">
        <v>60</v>
      </c>
      <c r="B551" t="s">
        <v>53</v>
      </c>
      <c r="C551">
        <f t="shared" si="10"/>
        <v>34</v>
      </c>
      <c r="D551" s="40">
        <v>2.5390570521200001E-3</v>
      </c>
      <c r="E551">
        <v>8.0000000000000002E-3</v>
      </c>
    </row>
    <row r="552" spans="1:5" x14ac:dyDescent="0.2">
      <c r="A552">
        <v>60</v>
      </c>
      <c r="B552" t="s">
        <v>53</v>
      </c>
      <c r="C552">
        <f t="shared" si="10"/>
        <v>35</v>
      </c>
      <c r="D552" s="40">
        <v>2.3793297030000001E-3</v>
      </c>
      <c r="E552">
        <v>8.9999999999999993E-3</v>
      </c>
    </row>
    <row r="553" spans="1:5" x14ac:dyDescent="0.2">
      <c r="A553">
        <v>60</v>
      </c>
      <c r="B553" t="s">
        <v>53</v>
      </c>
      <c r="C553">
        <f t="shared" si="10"/>
        <v>36</v>
      </c>
      <c r="D553" s="40">
        <v>2.2283606230599998E-3</v>
      </c>
      <c r="E553">
        <v>6.0000000000000001E-3</v>
      </c>
    </row>
    <row r="554" spans="1:5" x14ac:dyDescent="0.2">
      <c r="A554">
        <v>60</v>
      </c>
      <c r="B554" t="s">
        <v>53</v>
      </c>
      <c r="C554">
        <f t="shared" si="10"/>
        <v>37</v>
      </c>
      <c r="D554" s="40">
        <v>2.0859886489799999E-3</v>
      </c>
      <c r="E554">
        <v>6.0000000000000001E-3</v>
      </c>
    </row>
    <row r="555" spans="1:5" x14ac:dyDescent="0.2">
      <c r="A555">
        <v>60</v>
      </c>
      <c r="B555" t="s">
        <v>53</v>
      </c>
      <c r="C555">
        <f t="shared" si="10"/>
        <v>38</v>
      </c>
      <c r="D555" s="40">
        <v>1.9519788854700001E-3</v>
      </c>
      <c r="E555">
        <v>7.0000000000000001E-3</v>
      </c>
    </row>
    <row r="556" spans="1:5" x14ac:dyDescent="0.2">
      <c r="A556">
        <v>60</v>
      </c>
      <c r="B556" t="s">
        <v>53</v>
      </c>
      <c r="C556">
        <f t="shared" si="10"/>
        <v>39</v>
      </c>
      <c r="D556" s="40">
        <v>1.8260432165000001E-3</v>
      </c>
      <c r="E556">
        <v>5.0000000000000001E-3</v>
      </c>
    </row>
    <row r="557" spans="1:5" x14ac:dyDescent="0.2">
      <c r="A557">
        <v>60</v>
      </c>
      <c r="B557" t="s">
        <v>53</v>
      </c>
      <c r="C557">
        <f t="shared" si="10"/>
        <v>40</v>
      </c>
      <c r="D557" s="40">
        <v>1.7078567260600001E-3</v>
      </c>
      <c r="E557">
        <v>4.0000000000000001E-3</v>
      </c>
    </row>
    <row r="558" spans="1:5" x14ac:dyDescent="0.2">
      <c r="A558">
        <v>60</v>
      </c>
      <c r="B558" t="s">
        <v>53</v>
      </c>
      <c r="C558">
        <f t="shared" si="10"/>
        <v>41</v>
      </c>
      <c r="D558" s="40">
        <v>1.5970707487099999E-3</v>
      </c>
      <c r="E558">
        <v>8.9999999999999993E-3</v>
      </c>
    </row>
    <row r="559" spans="1:5" x14ac:dyDescent="0.2">
      <c r="A559">
        <v>60</v>
      </c>
      <c r="B559" t="s">
        <v>53</v>
      </c>
      <c r="C559">
        <f t="shared" si="10"/>
        <v>42</v>
      </c>
      <c r="D559" s="40">
        <v>1.4933231563399999E-3</v>
      </c>
      <c r="E559">
        <v>4.0000000000000001E-3</v>
      </c>
    </row>
    <row r="560" spans="1:5" x14ac:dyDescent="0.2">
      <c r="A560">
        <v>60</v>
      </c>
      <c r="B560" t="s">
        <v>53</v>
      </c>
      <c r="C560">
        <f t="shared" si="10"/>
        <v>43</v>
      </c>
      <c r="D560" s="40">
        <v>1.3962463879500001E-3</v>
      </c>
      <c r="E560">
        <v>8.0000000000000002E-3</v>
      </c>
    </row>
    <row r="561" spans="1:5" x14ac:dyDescent="0.2">
      <c r="A561">
        <v>60</v>
      </c>
      <c r="B561" t="s">
        <v>53</v>
      </c>
      <c r="C561">
        <f t="shared" si="10"/>
        <v>44</v>
      </c>
      <c r="D561" s="40">
        <v>1.30547364436E-3</v>
      </c>
      <c r="E561">
        <v>7.0000000000000001E-3</v>
      </c>
    </row>
    <row r="562" spans="1:5" x14ac:dyDescent="0.2">
      <c r="A562">
        <v>60</v>
      </c>
      <c r="B562" t="s">
        <v>53</v>
      </c>
      <c r="C562">
        <f t="shared" si="10"/>
        <v>45</v>
      </c>
      <c r="D562" s="40">
        <v>1.22064359694E-3</v>
      </c>
      <c r="E562">
        <v>5.0000000000000001E-3</v>
      </c>
    </row>
    <row r="563" spans="1:5" x14ac:dyDescent="0.2">
      <c r="A563">
        <v>60</v>
      </c>
      <c r="B563" t="s">
        <v>53</v>
      </c>
      <c r="C563">
        <f t="shared" si="10"/>
        <v>46</v>
      </c>
      <c r="D563" s="40">
        <v>1.14140389867E-3</v>
      </c>
      <c r="E563">
        <v>6.0000000000000001E-3</v>
      </c>
    </row>
    <row r="564" spans="1:5" x14ac:dyDescent="0.2">
      <c r="A564">
        <v>60</v>
      </c>
      <c r="B564" t="s">
        <v>53</v>
      </c>
      <c r="C564">
        <f t="shared" si="10"/>
        <v>47</v>
      </c>
      <c r="D564" s="40">
        <v>1.0674137343800001E-3</v>
      </c>
      <c r="E564">
        <v>0.01</v>
      </c>
    </row>
    <row r="565" spans="1:5" x14ac:dyDescent="0.2">
      <c r="A565">
        <v>60</v>
      </c>
      <c r="B565" t="s">
        <v>53</v>
      </c>
      <c r="C565">
        <f t="shared" si="10"/>
        <v>48</v>
      </c>
      <c r="D565" s="40">
        <v>9.9834560446800005E-4</v>
      </c>
      <c r="E565">
        <v>0.01</v>
      </c>
    </row>
    <row r="566" spans="1:5" x14ac:dyDescent="0.2">
      <c r="A566">
        <v>60</v>
      </c>
      <c r="B566" t="s">
        <v>53</v>
      </c>
      <c r="C566">
        <f t="shared" si="10"/>
        <v>49</v>
      </c>
      <c r="D566" s="40">
        <v>9.3388650081599998E-4</v>
      </c>
      <c r="E566">
        <v>5.0000000000000001E-3</v>
      </c>
    </row>
    <row r="567" spans="1:5" x14ac:dyDescent="0.2">
      <c r="A567">
        <v>60</v>
      </c>
      <c r="B567" t="s">
        <v>53</v>
      </c>
      <c r="C567">
        <f t="shared" si="10"/>
        <v>50</v>
      </c>
      <c r="D567" s="40">
        <v>8.7373860419899996E-4</v>
      </c>
      <c r="E567">
        <v>8.9999999999999993E-3</v>
      </c>
    </row>
    <row r="568" spans="1:5" x14ac:dyDescent="0.2">
      <c r="A568">
        <v>60</v>
      </c>
      <c r="B568" t="s">
        <v>53</v>
      </c>
      <c r="C568">
        <f t="shared" si="10"/>
        <v>51</v>
      </c>
      <c r="D568" s="40">
        <v>8.1761960836499998E-4</v>
      </c>
      <c r="E568">
        <v>4.0000000000000001E-3</v>
      </c>
    </row>
    <row r="569" spans="1:5" x14ac:dyDescent="0.2">
      <c r="A569">
        <v>60</v>
      </c>
      <c r="B569" t="s">
        <v>53</v>
      </c>
      <c r="C569">
        <f t="shared" si="10"/>
        <v>52</v>
      </c>
      <c r="D569" s="40">
        <v>7.6526275585100001E-4</v>
      </c>
      <c r="E569">
        <v>7.0000000000000001E-3</v>
      </c>
    </row>
    <row r="570" spans="1:5" x14ac:dyDescent="0.2">
      <c r="A570">
        <v>60</v>
      </c>
      <c r="B570" t="s">
        <v>53</v>
      </c>
      <c r="C570">
        <f t="shared" si="10"/>
        <v>53</v>
      </c>
      <c r="D570" s="40">
        <v>7.1641665427699998E-4</v>
      </c>
      <c r="E570">
        <v>4.0000000000000001E-3</v>
      </c>
    </row>
    <row r="571" spans="1:5" x14ac:dyDescent="0.2">
      <c r="A571">
        <v>60</v>
      </c>
      <c r="B571" t="s">
        <v>53</v>
      </c>
      <c r="C571">
        <f t="shared" si="10"/>
        <v>54</v>
      </c>
      <c r="D571" s="40">
        <v>6.7084492837700003E-4</v>
      </c>
      <c r="E571">
        <v>0.01</v>
      </c>
    </row>
    <row r="572" spans="1:5" x14ac:dyDescent="0.2">
      <c r="A572">
        <v>60</v>
      </c>
      <c r="B572" t="s">
        <v>53</v>
      </c>
      <c r="C572">
        <f t="shared" si="10"/>
        <v>55</v>
      </c>
      <c r="D572" s="40">
        <v>6.2832575204199996E-4</v>
      </c>
      <c r="E572">
        <v>0.01</v>
      </c>
    </row>
    <row r="573" spans="1:5" x14ac:dyDescent="0.2">
      <c r="A573">
        <v>60</v>
      </c>
      <c r="B573" t="s">
        <v>53</v>
      </c>
      <c r="C573">
        <f t="shared" si="10"/>
        <v>56</v>
      </c>
      <c r="D573" s="40">
        <v>5.8865129566299998E-4</v>
      </c>
      <c r="E573">
        <v>5.0000000000000001E-3</v>
      </c>
    </row>
    <row r="574" spans="1:5" x14ac:dyDescent="0.2">
      <c r="A574">
        <v>60</v>
      </c>
      <c r="B574" t="s">
        <v>53</v>
      </c>
      <c r="C574">
        <f t="shared" si="10"/>
        <v>57</v>
      </c>
      <c r="D574" s="40">
        <v>5.5162711673799997E-4</v>
      </c>
      <c r="E574">
        <v>8.9999999999999993E-3</v>
      </c>
    </row>
    <row r="575" spans="1:5" x14ac:dyDescent="0.2">
      <c r="A575">
        <v>60</v>
      </c>
      <c r="B575" t="s">
        <v>53</v>
      </c>
      <c r="C575">
        <f t="shared" si="10"/>
        <v>58</v>
      </c>
      <c r="D575" s="40">
        <v>5.1707151579199995E-4</v>
      </c>
      <c r="E575">
        <v>4.0000000000000001E-3</v>
      </c>
    </row>
    <row r="576" spans="1:5" x14ac:dyDescent="0.2">
      <c r="A576">
        <v>60</v>
      </c>
      <c r="B576" t="s">
        <v>53</v>
      </c>
      <c r="C576">
        <f t="shared" si="10"/>
        <v>59</v>
      </c>
      <c r="D576" s="40">
        <v>4.8481487478399998E-4</v>
      </c>
      <c r="E576">
        <v>7.0000000000000001E-3</v>
      </c>
    </row>
    <row r="577" spans="1:5" x14ac:dyDescent="0.2">
      <c r="A577">
        <v>60</v>
      </c>
      <c r="B577" t="s">
        <v>53</v>
      </c>
      <c r="C577">
        <f t="shared" si="10"/>
        <v>60</v>
      </c>
      <c r="D577" s="40">
        <v>4.5469899132500002E-4</v>
      </c>
      <c r="E577">
        <v>4.0000000000000001E-3</v>
      </c>
    </row>
  </sheetData>
  <autoFilter ref="A1:E5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3:D8"/>
  <sheetViews>
    <sheetView workbookViewId="0">
      <selection activeCell="C26" sqref="C26"/>
    </sheetView>
  </sheetViews>
  <sheetFormatPr baseColWidth="10" defaultRowHeight="16" x14ac:dyDescent="0.2"/>
  <cols>
    <col min="1" max="1" width="12.6640625" bestFit="1" customWidth="1"/>
    <col min="2" max="2" width="10.33203125" customWidth="1"/>
    <col min="3" max="3" width="15.1640625" bestFit="1" customWidth="1"/>
  </cols>
  <sheetData>
    <row r="3" spans="1:4" x14ac:dyDescent="0.2">
      <c r="A3" t="s">
        <v>16</v>
      </c>
      <c r="B3" s="3">
        <v>36</v>
      </c>
      <c r="C3" t="s">
        <v>10</v>
      </c>
      <c r="D3" s="5">
        <v>9.5000000000000001E-2</v>
      </c>
    </row>
    <row r="4" spans="1:4" x14ac:dyDescent="0.2">
      <c r="A4" t="s">
        <v>17</v>
      </c>
      <c r="B4" s="3" t="s">
        <v>20</v>
      </c>
      <c r="C4" t="s">
        <v>11</v>
      </c>
      <c r="D4" s="2">
        <v>0</v>
      </c>
    </row>
    <row r="5" spans="1:4" x14ac:dyDescent="0.2">
      <c r="A5" t="s">
        <v>18</v>
      </c>
      <c r="B5" s="4">
        <v>0.14169999999999999</v>
      </c>
      <c r="C5" t="s">
        <v>12</v>
      </c>
    </row>
    <row r="6" spans="1:4" x14ac:dyDescent="0.2">
      <c r="A6" t="s">
        <v>19</v>
      </c>
      <c r="B6" s="4">
        <v>9.5000000000000001E-2</v>
      </c>
      <c r="C6" t="s">
        <v>13</v>
      </c>
    </row>
    <row r="7" spans="1:4" x14ac:dyDescent="0.2">
      <c r="C7" t="s">
        <v>14</v>
      </c>
    </row>
    <row r="8" spans="1:4" x14ac:dyDescent="0.2">
      <c r="C8" t="s">
        <v>15</v>
      </c>
      <c r="D8">
        <v>0.18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data rates</vt:lpstr>
      <vt:lpstr>data estimates</vt:lpstr>
      <vt:lpstr>Portfolio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2017-10-08T18:18:30Z</dcterms:created>
  <dcterms:modified xsi:type="dcterms:W3CDTF">2017-11-27T04:41:43Z</dcterms:modified>
</cp:coreProperties>
</file>