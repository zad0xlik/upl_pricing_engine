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kolyadin/Desktop/irr/"/>
    </mc:Choice>
  </mc:AlternateContent>
  <bookViews>
    <workbookView xWindow="0" yWindow="460" windowWidth="16000" windowHeight="10380" tabRatio="500"/>
  </bookViews>
  <sheets>
    <sheet name="Main" sheetId="4" r:id="rId1"/>
    <sheet name="data rates" sheetId="2" r:id="rId2"/>
    <sheet name="data estimates" sheetId="3" r:id="rId3"/>
    <sheet name="Portfolio" sheetId="1" r:id="rId4"/>
    <sheet name="Conditional Rates" sheetId="5" r:id="rId5"/>
    <sheet name="Sheet2" sheetId="6" r:id="rId6"/>
  </sheets>
  <definedNames>
    <definedName name="_xlnm._FilterDatabase" localSheetId="2" hidden="1">'data estimates'!$A$1:$E$577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77" i="4" l="1"/>
  <c r="D10" i="2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D9" i="2"/>
  <c r="D11" i="2"/>
  <c r="D13" i="2"/>
  <c r="D8" i="2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Z3" i="4"/>
  <c r="Y3" i="4"/>
  <c r="X3" i="4"/>
  <c r="Z8" i="4"/>
  <c r="Y8" i="4"/>
  <c r="Z7" i="4"/>
  <c r="Y7" i="4"/>
  <c r="Z6" i="4"/>
  <c r="Y6" i="4"/>
  <c r="Z5" i="4"/>
  <c r="Y5" i="4"/>
  <c r="Z4" i="4"/>
  <c r="Y4" i="4"/>
  <c r="X5" i="4"/>
  <c r="X6" i="4"/>
  <c r="X7" i="4"/>
  <c r="X8" i="4"/>
  <c r="X4" i="4"/>
</calcChain>
</file>

<file path=xl/sharedStrings.xml><?xml version="1.0" encoding="utf-8"?>
<sst xmlns="http://schemas.openxmlformats.org/spreadsheetml/2006/main" count="1342" uniqueCount="113">
  <si>
    <t>PRODUCT</t>
  </si>
  <si>
    <t>TERM</t>
  </si>
  <si>
    <t>GRADE</t>
  </si>
  <si>
    <t>INTEREST RATE</t>
  </si>
  <si>
    <t>VOLUME</t>
  </si>
  <si>
    <t>LOSS MULTIPLIER</t>
  </si>
  <si>
    <t>PREPAY MULTIPLIER</t>
  </si>
  <si>
    <t>MOB</t>
  </si>
  <si>
    <t>UCOR</t>
  </si>
  <si>
    <t>UPOR</t>
  </si>
  <si>
    <t>Recovery_Rate</t>
  </si>
  <si>
    <t>Holding_Days</t>
  </si>
  <si>
    <t>Service_Fee_PI</t>
  </si>
  <si>
    <t>Service_Fee_UPB</t>
  </si>
  <si>
    <t>Recovery_Fee</t>
  </si>
  <si>
    <t>Term</t>
  </si>
  <si>
    <t>Grade</t>
  </si>
  <si>
    <t>Interest Rate</t>
  </si>
  <si>
    <t>Recovery Rate</t>
  </si>
  <si>
    <t>C</t>
  </si>
  <si>
    <t>Holding Days</t>
  </si>
  <si>
    <t>Servicing Fee (P&amp;I)</t>
  </si>
  <si>
    <t>Servicing Fee (UPB)</t>
  </si>
  <si>
    <t>Effective Collection Fee</t>
  </si>
  <si>
    <t>Recovery Fee</t>
  </si>
  <si>
    <t>SBB</t>
  </si>
  <si>
    <t>SP</t>
  </si>
  <si>
    <t>SIP</t>
  </si>
  <si>
    <t>SPP</t>
  </si>
  <si>
    <t>EBB</t>
  </si>
  <si>
    <t>ESU</t>
  </si>
  <si>
    <t>EIP</t>
  </si>
  <si>
    <t>ESPP</t>
  </si>
  <si>
    <t>EUPP</t>
  </si>
  <si>
    <t>ED</t>
  </si>
  <si>
    <t>ER</t>
  </si>
  <si>
    <t>EWF</t>
  </si>
  <si>
    <t>ECF</t>
  </si>
  <si>
    <t>ERF</t>
  </si>
  <si>
    <t>ESF</t>
  </si>
  <si>
    <t>ETP</t>
  </si>
  <si>
    <t>EEB</t>
  </si>
  <si>
    <t>EPU</t>
  </si>
  <si>
    <t>DPOR</t>
  </si>
  <si>
    <t>SMM</t>
  </si>
  <si>
    <t>CPR</t>
  </si>
  <si>
    <t>ECU</t>
  </si>
  <si>
    <t>DCOR</t>
  </si>
  <si>
    <t>MDR</t>
  </si>
  <si>
    <t>CDR</t>
  </si>
  <si>
    <t>A</t>
  </si>
  <si>
    <t>B</t>
  </si>
  <si>
    <t>D</t>
  </si>
  <si>
    <t>E</t>
  </si>
  <si>
    <t>Prime</t>
  </si>
  <si>
    <t>IRR</t>
  </si>
  <si>
    <t>Yield</t>
  </si>
  <si>
    <t>NAR</t>
  </si>
  <si>
    <t>GCL</t>
  </si>
  <si>
    <t>NCL</t>
  </si>
  <si>
    <t>ACL</t>
  </si>
  <si>
    <t>- Collection Fee Effect</t>
  </si>
  <si>
    <t>- Recovery Fee Effect</t>
  </si>
  <si>
    <t>- Holding Effect</t>
  </si>
  <si>
    <t>- Servicing Fee Effect</t>
  </si>
  <si>
    <t>- Bank Fee Effect</t>
  </si>
  <si>
    <t xml:space="preserve">MOB Month on Book  </t>
  </si>
  <si>
    <t xml:space="preserve">UPOR   Unit Paid-Off Rate </t>
  </si>
  <si>
    <t xml:space="preserve">UCOR   Unit Charge-Off Rate   </t>
  </si>
  <si>
    <t xml:space="preserve">SBB    Scheduled Beginning Balance    </t>
  </si>
  <si>
    <t>SP Scheduled (Contractual) Payment    = PMT(R/12,T,-P)</t>
  </si>
  <si>
    <t>SIP    Scheduled Interest Payment = R/12*SBB</t>
  </si>
  <si>
    <t>SPP    Scheduled Principal Payment    = SP - SIP</t>
  </si>
  <si>
    <t>EBB    Expected Beginning (Performing) Balance    =EEB(MOB-1)</t>
  </si>
  <si>
    <t xml:space="preserve">ESU    Expected Surviving Units   </t>
  </si>
  <si>
    <t xml:space="preserve">EIP    Expected Interest Payment  </t>
  </si>
  <si>
    <t xml:space="preserve">ESPP   Expected Scheduled Principal Payment   </t>
  </si>
  <si>
    <t xml:space="preserve">EUPP   Expected Unscheduled Principal Payment (prepayment)    </t>
  </si>
  <si>
    <t xml:space="preserve">ED Expected Default (Amount)  </t>
  </si>
  <si>
    <t xml:space="preserve">ER Expected Recovery (Amount) </t>
  </si>
  <si>
    <t xml:space="preserve">ECF    Expected Collection Fees   </t>
  </si>
  <si>
    <t xml:space="preserve">ERF    Expected Recovery Fees </t>
  </si>
  <si>
    <t xml:space="preserve">ESF    Expected Servicing Fees    </t>
  </si>
  <si>
    <t>ETP    Expected Total Payment = EIP + ESPP + EUPP + ER - EWF - ECF - ERF - ESF</t>
  </si>
  <si>
    <t>EEB    Expected Ending (Performing) Balance   = EBB - (ED + ESPP + EUPP)</t>
  </si>
  <si>
    <t xml:space="preserve">EPU    Expected Paid-Off Units    </t>
  </si>
  <si>
    <t xml:space="preserve">DPOR   Dollar Paid-Off Rate   </t>
  </si>
  <si>
    <t xml:space="preserve">SMM    Single Monthly Mortality (Rate)    </t>
  </si>
  <si>
    <t xml:space="preserve">CPR    Conditional Prepayment Rate    </t>
  </si>
  <si>
    <t xml:space="preserve">ECU    Expected Charge-Off Units  </t>
  </si>
  <si>
    <t xml:space="preserve">DCOR   Dollar Charge-Off Rate </t>
  </si>
  <si>
    <t xml:space="preserve">MDR    Monthly Default Rate   </t>
  </si>
  <si>
    <t>CDR    Conditional Default Rate</t>
  </si>
  <si>
    <t>Measure of Returns</t>
  </si>
  <si>
    <t>- No Fees</t>
  </si>
  <si>
    <t>- w/ Collection Fees</t>
  </si>
  <si>
    <t>- w/ Collection and Recovery Fees</t>
  </si>
  <si>
    <t>- w/ Collection, Recovery Fees and Holding Period</t>
  </si>
  <si>
    <t>- w/ Collection, Recovery Fees, Holding, Servicing and Bank Fees</t>
  </si>
  <si>
    <t>- w/ Collection, Recovery Fees, Holding Period and Servicing Fees</t>
  </si>
  <si>
    <t>Bank Fee</t>
  </si>
  <si>
    <t>Effect of Fees on</t>
  </si>
  <si>
    <t>Macaulay Duration</t>
  </si>
  <si>
    <t>F/G</t>
  </si>
  <si>
    <t>Number of holding days by issuing bank</t>
  </si>
  <si>
    <t xml:space="preserve">EWF    Expected Bank Fees  </t>
  </si>
  <si>
    <t>Macaulay Duration is the weighted average term to maturity of the cash flows from a bond</t>
  </si>
  <si>
    <t>Sum of UCOR and UPOR exceeds 100%.</t>
  </si>
  <si>
    <t>WEIGHT</t>
  </si>
  <si>
    <t>RATE</t>
  </si>
  <si>
    <t>DURATION</t>
  </si>
  <si>
    <t>Bank_Fee</t>
  </si>
  <si>
    <t>INTEREST_RATE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</si>
</sst>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%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Menlo"/>
      <family val="2"/>
    </font>
    <font>
      <b/>
      <sz val="9"/>
      <color theme="1"/>
      <name val="Menlo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i/>
      <sz val="9"/>
      <color theme="1"/>
      <name val="Menlo"/>
      <family val="2"/>
    </font>
    <font>
      <sz val="12"/>
      <color rgb="FF000000"/>
      <name val="System Font"/>
    </font>
    <font>
      <sz val="9"/>
      <color theme="0"/>
      <name val="Menlo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auto="1"/>
      </right>
      <top/>
      <bottom style="dashed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quotePrefix="1"/>
    <xf numFmtId="10" fontId="0" fillId="0" borderId="0" xfId="1" applyNumberFormat="1" applyFont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0" applyNumberFormat="1"/>
    <xf numFmtId="0" fontId="3" fillId="0" borderId="0" xfId="0" applyFont="1"/>
    <xf numFmtId="0" fontId="3" fillId="0" borderId="0" xfId="0" quotePrefix="1" applyFont="1"/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3" fillId="0" borderId="2" xfId="0" applyFont="1" applyBorder="1"/>
    <xf numFmtId="0" fontId="3" fillId="0" borderId="9" xfId="0" applyFont="1" applyBorder="1"/>
    <xf numFmtId="0" fontId="3" fillId="0" borderId="11" xfId="0" applyFont="1" applyBorder="1"/>
    <xf numFmtId="164" fontId="3" fillId="0" borderId="12" xfId="1" applyNumberFormat="1" applyFont="1" applyBorder="1" applyAlignment="1">
      <alignment horizontal="center"/>
    </xf>
    <xf numFmtId="0" fontId="3" fillId="0" borderId="13" xfId="0" applyFont="1" applyBorder="1"/>
    <xf numFmtId="0" fontId="3" fillId="0" borderId="3" xfId="0" applyFont="1" applyBorder="1"/>
    <xf numFmtId="0" fontId="3" fillId="0" borderId="10" xfId="0" applyFont="1" applyBorder="1"/>
    <xf numFmtId="0" fontId="3" fillId="0" borderId="12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8" xfId="0" applyFont="1" applyBorder="1"/>
    <xf numFmtId="0" fontId="3" fillId="0" borderId="19" xfId="0" applyFont="1" applyBorder="1"/>
    <xf numFmtId="0" fontId="4" fillId="2" borderId="20" xfId="0" applyFont="1" applyFill="1" applyBorder="1" applyAlignment="1">
      <alignment horizontal="center"/>
    </xf>
    <xf numFmtId="0" fontId="4" fillId="2" borderId="8" xfId="0" applyFont="1" applyFill="1" applyBorder="1"/>
    <xf numFmtId="0" fontId="0" fillId="2" borderId="20" xfId="0" applyFill="1" applyBorder="1"/>
    <xf numFmtId="0" fontId="7" fillId="0" borderId="0" xfId="0" applyFont="1"/>
    <xf numFmtId="10" fontId="3" fillId="0" borderId="18" xfId="1" applyNumberFormat="1" applyFont="1" applyBorder="1" applyAlignment="1">
      <alignment horizontal="center"/>
    </xf>
    <xf numFmtId="10" fontId="3" fillId="0" borderId="19" xfId="1" applyNumberFormat="1" applyFont="1" applyBorder="1" applyAlignment="1">
      <alignment horizontal="center"/>
    </xf>
    <xf numFmtId="10" fontId="3" fillId="0" borderId="15" xfId="1" applyNumberFormat="1" applyFont="1" applyBorder="1" applyAlignment="1">
      <alignment horizontal="center"/>
    </xf>
    <xf numFmtId="10" fontId="3" fillId="0" borderId="12" xfId="1" applyNumberFormat="1" applyFont="1" applyBorder="1" applyAlignment="1">
      <alignment horizontal="center"/>
    </xf>
    <xf numFmtId="10" fontId="3" fillId="0" borderId="16" xfId="1" applyNumberFormat="1" applyFont="1" applyBorder="1" applyAlignment="1">
      <alignment horizontal="center"/>
    </xf>
    <xf numFmtId="10" fontId="3" fillId="0" borderId="14" xfId="1" applyNumberFormat="1" applyFont="1" applyBorder="1" applyAlignment="1">
      <alignment horizontal="center"/>
    </xf>
    <xf numFmtId="10" fontId="3" fillId="0" borderId="0" xfId="1" applyNumberFormat="1" applyFont="1" applyAlignment="1">
      <alignment horizontal="center"/>
    </xf>
    <xf numFmtId="0" fontId="0" fillId="0" borderId="21" xfId="0" applyNumberFormat="1" applyFont="1" applyBorder="1"/>
    <xf numFmtId="0" fontId="9" fillId="0" borderId="0" xfId="0" applyFont="1"/>
    <xf numFmtId="0" fontId="3" fillId="3" borderId="11" xfId="0" applyFont="1" applyFill="1" applyBorder="1"/>
    <xf numFmtId="0" fontId="3" fillId="3" borderId="12" xfId="0" applyFont="1" applyFill="1" applyBorder="1" applyAlignment="1">
      <alignment horizontal="center"/>
    </xf>
    <xf numFmtId="0" fontId="3" fillId="3" borderId="9" xfId="0" applyFont="1" applyFill="1" applyBorder="1"/>
    <xf numFmtId="0" fontId="3" fillId="3" borderId="1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13" xfId="0" applyFont="1" applyFill="1" applyBorder="1"/>
    <xf numFmtId="0" fontId="3" fillId="3" borderId="14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3" fillId="0" borderId="16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3" fillId="0" borderId="18" xfId="0" applyFont="1" applyBorder="1" applyAlignment="1">
      <alignment horizontal="left"/>
    </xf>
    <xf numFmtId="0" fontId="4" fillId="2" borderId="8" xfId="0" quotePrefix="1" applyFont="1" applyFill="1" applyBorder="1" applyAlignment="1">
      <alignment horizontal="center"/>
    </xf>
    <xf numFmtId="0" fontId="4" fillId="2" borderId="20" xfId="0" quotePrefix="1" applyFont="1" applyFill="1" applyBorder="1" applyAlignment="1">
      <alignment horizontal="center"/>
    </xf>
    <xf numFmtId="0" fontId="3" fillId="0" borderId="13" xfId="0" quotePrefix="1" applyFont="1" applyBorder="1" applyAlignment="1">
      <alignment horizontal="left"/>
    </xf>
    <xf numFmtId="0" fontId="3" fillId="0" borderId="16" xfId="0" quotePrefix="1" applyFont="1" applyBorder="1" applyAlignment="1">
      <alignment horizontal="left"/>
    </xf>
    <xf numFmtId="0" fontId="3" fillId="0" borderId="11" xfId="0" quotePrefix="1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0" borderId="17" xfId="0" quotePrefix="1" applyFont="1" applyBorder="1" applyAlignment="1">
      <alignment horizontal="left"/>
    </xf>
    <xf numFmtId="0" fontId="3" fillId="0" borderId="18" xfId="0" quotePrefix="1" applyFont="1" applyBorder="1" applyAlignment="1">
      <alignment horizontal="left"/>
    </xf>
    <xf numFmtId="43" fontId="0" fillId="0" borderId="0" xfId="6" applyFont="1"/>
  </cellXfs>
  <cellStyles count="7">
    <cellStyle name="Comma" xfId="6" builtinId="3"/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Main!$C$12</c:f>
              <c:strCache>
                <c:ptCount val="1"/>
                <c:pt idx="0">
                  <c:v>UPOR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Main!$C$13:$C$48</c:f>
              <c:numCache>
                <c:formatCode>General</c:formatCode>
                <c:ptCount val="36"/>
                <c:pt idx="0">
                  <c:v>0.005</c:v>
                </c:pt>
                <c:pt idx="1">
                  <c:v>0.009</c:v>
                </c:pt>
                <c:pt idx="2">
                  <c:v>0.004</c:v>
                </c:pt>
                <c:pt idx="3">
                  <c:v>0.007</c:v>
                </c:pt>
                <c:pt idx="4">
                  <c:v>0.004</c:v>
                </c:pt>
                <c:pt idx="5">
                  <c:v>0.01</c:v>
                </c:pt>
                <c:pt idx="6">
                  <c:v>0.004</c:v>
                </c:pt>
                <c:pt idx="7">
                  <c:v>0.008</c:v>
                </c:pt>
                <c:pt idx="8">
                  <c:v>0.009</c:v>
                </c:pt>
                <c:pt idx="9">
                  <c:v>0.006</c:v>
                </c:pt>
                <c:pt idx="10">
                  <c:v>0.006</c:v>
                </c:pt>
                <c:pt idx="11">
                  <c:v>0.007</c:v>
                </c:pt>
                <c:pt idx="12">
                  <c:v>0.005</c:v>
                </c:pt>
                <c:pt idx="13">
                  <c:v>0.004</c:v>
                </c:pt>
                <c:pt idx="14">
                  <c:v>0.009</c:v>
                </c:pt>
                <c:pt idx="15">
                  <c:v>0.004</c:v>
                </c:pt>
                <c:pt idx="16">
                  <c:v>0.008</c:v>
                </c:pt>
                <c:pt idx="17">
                  <c:v>0.007</c:v>
                </c:pt>
                <c:pt idx="18">
                  <c:v>0.005</c:v>
                </c:pt>
                <c:pt idx="19">
                  <c:v>0.006</c:v>
                </c:pt>
                <c:pt idx="20">
                  <c:v>0.01</c:v>
                </c:pt>
                <c:pt idx="21">
                  <c:v>0.01</c:v>
                </c:pt>
                <c:pt idx="22">
                  <c:v>0.005</c:v>
                </c:pt>
                <c:pt idx="23">
                  <c:v>0.009</c:v>
                </c:pt>
                <c:pt idx="24">
                  <c:v>0.004</c:v>
                </c:pt>
                <c:pt idx="25">
                  <c:v>0.007</c:v>
                </c:pt>
                <c:pt idx="26">
                  <c:v>0.004</c:v>
                </c:pt>
                <c:pt idx="27">
                  <c:v>0.01</c:v>
                </c:pt>
                <c:pt idx="28">
                  <c:v>0.01</c:v>
                </c:pt>
                <c:pt idx="29">
                  <c:v>0.005</c:v>
                </c:pt>
                <c:pt idx="30">
                  <c:v>0.009</c:v>
                </c:pt>
                <c:pt idx="31">
                  <c:v>0.004</c:v>
                </c:pt>
                <c:pt idx="32">
                  <c:v>0.007</c:v>
                </c:pt>
                <c:pt idx="33">
                  <c:v>0.004</c:v>
                </c:pt>
                <c:pt idx="34">
                  <c:v>0.01</c:v>
                </c:pt>
                <c:pt idx="35">
                  <c:v>0.004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487456"/>
        <c:axId val="2051489504"/>
      </c:scatterChart>
      <c:valAx>
        <c:axId val="2051487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489504"/>
        <c:crosses val="autoZero"/>
        <c:crossBetween val="midCat"/>
      </c:valAx>
      <c:valAx>
        <c:axId val="20514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48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Main!$D$12</c:f>
              <c:strCache>
                <c:ptCount val="1"/>
                <c:pt idx="0">
                  <c:v>UCOR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Main!$D$13:$D$48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0.0018</c:v>
                </c:pt>
                <c:pt idx="3">
                  <c:v>0.0028</c:v>
                </c:pt>
                <c:pt idx="4">
                  <c:v>0.003</c:v>
                </c:pt>
                <c:pt idx="5">
                  <c:v>0.003</c:v>
                </c:pt>
                <c:pt idx="6">
                  <c:v>0.0028</c:v>
                </c:pt>
                <c:pt idx="7">
                  <c:v>0.0027</c:v>
                </c:pt>
                <c:pt idx="8">
                  <c:v>0.0025</c:v>
                </c:pt>
                <c:pt idx="9">
                  <c:v>0.0024</c:v>
                </c:pt>
                <c:pt idx="10">
                  <c:v>0.0022</c:v>
                </c:pt>
                <c:pt idx="11">
                  <c:v>0.0021</c:v>
                </c:pt>
                <c:pt idx="12">
                  <c:v>0.002</c:v>
                </c:pt>
                <c:pt idx="13">
                  <c:v>0.0019</c:v>
                </c:pt>
                <c:pt idx="14">
                  <c:v>0.0018</c:v>
                </c:pt>
                <c:pt idx="15">
                  <c:v>0.0017</c:v>
                </c:pt>
                <c:pt idx="16">
                  <c:v>0.0016</c:v>
                </c:pt>
                <c:pt idx="17">
                  <c:v>0.0015</c:v>
                </c:pt>
                <c:pt idx="18">
                  <c:v>0.0014</c:v>
                </c:pt>
                <c:pt idx="19">
                  <c:v>0.0014</c:v>
                </c:pt>
                <c:pt idx="20">
                  <c:v>0.0013</c:v>
                </c:pt>
                <c:pt idx="21">
                  <c:v>0.0012</c:v>
                </c:pt>
                <c:pt idx="22">
                  <c:v>0.0012</c:v>
                </c:pt>
                <c:pt idx="23">
                  <c:v>0.0011</c:v>
                </c:pt>
                <c:pt idx="24">
                  <c:v>0.0011</c:v>
                </c:pt>
                <c:pt idx="25">
                  <c:v>0.001</c:v>
                </c:pt>
                <c:pt idx="26">
                  <c:v>0.001</c:v>
                </c:pt>
                <c:pt idx="27">
                  <c:v>0.0009</c:v>
                </c:pt>
                <c:pt idx="28">
                  <c:v>0.0009</c:v>
                </c:pt>
                <c:pt idx="29">
                  <c:v>0.0009</c:v>
                </c:pt>
                <c:pt idx="30">
                  <c:v>0.0008</c:v>
                </c:pt>
                <c:pt idx="31">
                  <c:v>0.0008</c:v>
                </c:pt>
                <c:pt idx="32">
                  <c:v>0.0008</c:v>
                </c:pt>
                <c:pt idx="33">
                  <c:v>0.0007</c:v>
                </c:pt>
                <c:pt idx="34">
                  <c:v>0.0007</c:v>
                </c:pt>
                <c:pt idx="35">
                  <c:v>0.0007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334320"/>
        <c:axId val="2052336800"/>
      </c:scatterChart>
      <c:valAx>
        <c:axId val="205233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36800"/>
        <c:crosses val="autoZero"/>
        <c:crossBetween val="midCat"/>
      </c:valAx>
      <c:valAx>
        <c:axId val="20523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3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Main!$L$12</c:f>
              <c:strCache>
                <c:ptCount val="1"/>
                <c:pt idx="0">
                  <c:v>ESPP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Main!$L$13:$L$48</c:f>
              <c:numCache>
                <c:formatCode>General</c:formatCode>
                <c:ptCount val="36"/>
                <c:pt idx="0">
                  <c:v>247.9003579619627</c:v>
                </c:pt>
                <c:pt idx="1">
                  <c:v>247.3712315842535</c:v>
                </c:pt>
                <c:pt idx="2">
                  <c:v>245.8663191450448</c:v>
                </c:pt>
                <c:pt idx="3">
                  <c:v>245.6315384240493</c:v>
                </c:pt>
                <c:pt idx="4">
                  <c:v>244.6688708135104</c:v>
                </c:pt>
                <c:pt idx="5">
                  <c:v>244.4837191037118</c:v>
                </c:pt>
                <c:pt idx="6">
                  <c:v>242.7860640477046</c:v>
                </c:pt>
                <c:pt idx="7">
                  <c:v>242.6480522862967</c:v>
                </c:pt>
                <c:pt idx="8">
                  <c:v>241.4779551715021</c:v>
                </c:pt>
                <c:pt idx="9">
                  <c:v>240.0480111170512</c:v>
                </c:pt>
                <c:pt idx="10">
                  <c:v>239.4142677635908</c:v>
                </c:pt>
                <c:pt idx="11">
                  <c:v>238.7910529373944</c:v>
                </c:pt>
                <c:pt idx="12">
                  <c:v>237.9103645691491</c:v>
                </c:pt>
                <c:pt idx="13">
                  <c:v>237.5774443369294</c:v>
                </c:pt>
                <c:pt idx="14">
                  <c:v>237.5307304897453</c:v>
                </c:pt>
                <c:pt idx="15">
                  <c:v>236.1092361418175</c:v>
                </c:pt>
                <c:pt idx="16">
                  <c:v>236.0636538661879</c:v>
                </c:pt>
                <c:pt idx="17">
                  <c:v>234.9310518623127</c:v>
                </c:pt>
                <c:pt idx="18">
                  <c:v>234.0545612589302</c:v>
                </c:pt>
                <c:pt idx="19">
                  <c:v>233.746653126417</c:v>
                </c:pt>
                <c:pt idx="20">
                  <c:v>233.1453030760831</c:v>
                </c:pt>
                <c:pt idx="21">
                  <c:v>231.4243790816591</c:v>
                </c:pt>
                <c:pt idx="22">
                  <c:v>229.674566612466</c:v>
                </c:pt>
                <c:pt idx="23">
                  <c:v>229.356634645591</c:v>
                </c:pt>
                <c:pt idx="24">
                  <c:v>227.8739332414178</c:v>
                </c:pt>
                <c:pt idx="25">
                  <c:v>227.8148984167627</c:v>
                </c:pt>
                <c:pt idx="26">
                  <c:v>226.9012470275853</c:v>
                </c:pt>
                <c:pt idx="27">
                  <c:v>226.848712681021</c:v>
                </c:pt>
                <c:pt idx="28">
                  <c:v>225.0165953994242</c:v>
                </c:pt>
                <c:pt idx="29">
                  <c:v>223.184176266984</c:v>
                </c:pt>
                <c:pt idx="30">
                  <c:v>222.815226131773</c:v>
                </c:pt>
                <c:pt idx="31">
                  <c:v>221.2320410664267</c:v>
                </c:pt>
                <c:pt idx="32">
                  <c:v>221.3448632478475</c:v>
                </c:pt>
                <c:pt idx="33">
                  <c:v>220.5389380770353</c:v>
                </c:pt>
                <c:pt idx="34">
                  <c:v>220.6331277854329</c:v>
                </c:pt>
                <c:pt idx="35">
                  <c:v>218.8743081213729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358528"/>
        <c:axId val="2052361008"/>
      </c:scatterChart>
      <c:valAx>
        <c:axId val="20523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61008"/>
        <c:crosses val="autoZero"/>
        <c:crossBetween val="midCat"/>
      </c:valAx>
      <c:valAx>
        <c:axId val="205236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5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Main!$M$12</c:f>
              <c:strCache>
                <c:ptCount val="1"/>
                <c:pt idx="0">
                  <c:v>EUPP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Main!$M$13:$M$48</c:f>
              <c:numCache>
                <c:formatCode>General</c:formatCode>
                <c:ptCount val="36"/>
                <c:pt idx="0">
                  <c:v>48.7510058546858</c:v>
                </c:pt>
                <c:pt idx="1">
                  <c:v>85.49018814483598</c:v>
                </c:pt>
                <c:pt idx="2">
                  <c:v>36.9844678033048</c:v>
                </c:pt>
                <c:pt idx="3">
                  <c:v>62.94269569381183</c:v>
                </c:pt>
                <c:pt idx="4">
                  <c:v>34.94396371265281</c:v>
                </c:pt>
                <c:pt idx="5">
                  <c:v>84.7863964489614</c:v>
                </c:pt>
                <c:pt idx="6">
                  <c:v>32.8790027508462</c:v>
                </c:pt>
                <c:pt idx="7">
                  <c:v>63.67451895206226</c:v>
                </c:pt>
                <c:pt idx="8">
                  <c:v>69.27590651658535</c:v>
                </c:pt>
                <c:pt idx="9">
                  <c:v>44.60259373097088</c:v>
                </c:pt>
                <c:pt idx="10">
                  <c:v>43.01180125413642</c:v>
                </c:pt>
                <c:pt idx="11">
                  <c:v>48.31342109096163</c:v>
                </c:pt>
                <c:pt idx="12">
                  <c:v>33.16803712752868</c:v>
                </c:pt>
                <c:pt idx="13">
                  <c:v>25.45477760324117</c:v>
                </c:pt>
                <c:pt idx="14">
                  <c:v>54.82951781213068</c:v>
                </c:pt>
                <c:pt idx="15">
                  <c:v>23.27608209755223</c:v>
                </c:pt>
                <c:pt idx="16">
                  <c:v>44.3539227436675</c:v>
                </c:pt>
                <c:pt idx="17">
                  <c:v>36.87472844961336</c:v>
                </c:pt>
                <c:pt idx="18">
                  <c:v>24.94872367761423</c:v>
                </c:pt>
                <c:pt idx="19">
                  <c:v>28.26005778752848</c:v>
                </c:pt>
                <c:pt idx="20">
                  <c:v>44.28603109738654</c:v>
                </c:pt>
                <c:pt idx="21">
                  <c:v>41.45515184256498</c:v>
                </c:pt>
                <c:pt idx="22">
                  <c:v>19.30367904209793</c:v>
                </c:pt>
                <c:pt idx="23">
                  <c:v>32.16829388230848</c:v>
                </c:pt>
                <c:pt idx="24">
                  <c:v>13.14424887852875</c:v>
                </c:pt>
                <c:pt idx="25">
                  <c:v>20.9730332863215</c:v>
                </c:pt>
                <c:pt idx="26">
                  <c:v>10.81800306100995</c:v>
                </c:pt>
                <c:pt idx="27">
                  <c:v>24.11111328262026</c:v>
                </c:pt>
                <c:pt idx="28">
                  <c:v>21.15968889385549</c:v>
                </c:pt>
                <c:pt idx="29">
                  <c:v>9.095314872183886</c:v>
                </c:pt>
                <c:pt idx="30">
                  <c:v>13.68344741981577</c:v>
                </c:pt>
                <c:pt idx="31">
                  <c:v>4.879674025148265</c:v>
                </c:pt>
                <c:pt idx="32">
                  <c:v>6.42361083209502</c:v>
                </c:pt>
                <c:pt idx="33">
                  <c:v>2.454371487643937</c:v>
                </c:pt>
                <c:pt idx="34">
                  <c:v>3.077102602578053</c:v>
                </c:pt>
                <c:pt idx="35">
                  <c:v>3.00204305858642E-14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382656"/>
        <c:axId val="2052385136"/>
      </c:scatterChart>
      <c:valAx>
        <c:axId val="205238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85136"/>
        <c:crosses val="autoZero"/>
        <c:crossBetween val="midCat"/>
      </c:valAx>
      <c:valAx>
        <c:axId val="205238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8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Main!$N$12</c:f>
              <c:strCache>
                <c:ptCount val="1"/>
                <c:pt idx="0">
                  <c:v>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Main!$N$13:$N$48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18.0</c:v>
                </c:pt>
                <c:pt idx="3">
                  <c:v>28</c:v>
                </c:pt>
                <c:pt idx="4">
                  <c:v>30.0</c:v>
                </c:pt>
                <c:pt idx="5">
                  <c:v>29.25060351281147</c:v>
                </c:pt>
                <c:pt idx="6">
                  <c:v>26.59694742283785</c:v>
                </c:pt>
                <c:pt idx="7">
                  <c:v>24.96451576723074</c:v>
                </c:pt>
                <c:pt idx="8">
                  <c:v>22.47953417636134</c:v>
                </c:pt>
                <c:pt idx="9">
                  <c:v>20.96637822759169</c:v>
                </c:pt>
                <c:pt idx="10">
                  <c:v>18.6530072187715</c:v>
                </c:pt>
                <c:pt idx="11">
                  <c:v>17.26147644419424</c:v>
                </c:pt>
                <c:pt idx="12">
                  <c:v>15.91862973801556</c:v>
                </c:pt>
                <c:pt idx="13">
                  <c:v>14.62491359794579</c:v>
                </c:pt>
                <c:pt idx="14">
                  <c:v>13.38077811929127</c:v>
                </c:pt>
                <c:pt idx="15">
                  <c:v>12.18667702200531</c:v>
                </c:pt>
                <c:pt idx="16">
                  <c:v>11.04306767793407</c:v>
                </c:pt>
                <c:pt idx="17">
                  <c:v>9.950411138258603</c:v>
                </c:pt>
                <c:pt idx="18">
                  <c:v>8.909172161134416</c:v>
                </c:pt>
                <c:pt idx="19">
                  <c:v>8.5290361041092</c:v>
                </c:pt>
                <c:pt idx="20">
                  <c:v>7.564726681704477</c:v>
                </c:pt>
                <c:pt idx="21">
                  <c:v>6.653088411550115</c:v>
                </c:pt>
                <c:pt idx="22">
                  <c:v>6.321382019933719</c:v>
                </c:pt>
                <c:pt idx="23">
                  <c:v>5.488719209075123</c:v>
                </c:pt>
                <c:pt idx="24">
                  <c:v>5.181010594380222</c:v>
                </c:pt>
                <c:pt idx="25">
                  <c:v>4.42860310973865</c:v>
                </c:pt>
                <c:pt idx="26">
                  <c:v>4.145515184256495</c:v>
                </c:pt>
                <c:pt idx="27">
                  <c:v>3.474662227577629</c:v>
                </c:pt>
                <c:pt idx="28">
                  <c:v>3.216829388230847</c:v>
                </c:pt>
                <c:pt idx="29">
                  <c:v>2.957455997668962</c:v>
                </c:pt>
                <c:pt idx="30">
                  <c:v>2.396918089865317</c:v>
                </c:pt>
                <c:pt idx="31">
                  <c:v>2.163600612201986</c:v>
                </c:pt>
                <c:pt idx="32">
                  <c:v>1.928889062609619</c:v>
                </c:pt>
                <c:pt idx="33">
                  <c:v>1.481178222569877</c:v>
                </c:pt>
                <c:pt idx="34">
                  <c:v>1.273344082105744</c:v>
                </c:pt>
                <c:pt idx="35">
                  <c:v>1.064268132652337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406864"/>
        <c:axId val="2052409344"/>
      </c:scatterChart>
      <c:valAx>
        <c:axId val="205240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09344"/>
        <c:crosses val="autoZero"/>
        <c:crossBetween val="midCat"/>
      </c:valAx>
      <c:valAx>
        <c:axId val="205240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0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Main!$O$12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Main!$O$13:$O$48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1.71</c:v>
                </c:pt>
                <c:pt idx="3">
                  <c:v>2.66</c:v>
                </c:pt>
                <c:pt idx="4">
                  <c:v>2.85</c:v>
                </c:pt>
                <c:pt idx="5">
                  <c:v>2.778807333717089</c:v>
                </c:pt>
                <c:pt idx="6">
                  <c:v>2.526710005169596</c:v>
                </c:pt>
                <c:pt idx="7">
                  <c:v>2.37162899788692</c:v>
                </c:pt>
                <c:pt idx="8">
                  <c:v>2.135555746754328</c:v>
                </c:pt>
                <c:pt idx="9">
                  <c:v>1.991805931621211</c:v>
                </c:pt>
                <c:pt idx="10">
                  <c:v>1.772035685783292</c:v>
                </c:pt>
                <c:pt idx="11">
                  <c:v>1.639840262198453</c:v>
                </c:pt>
                <c:pt idx="12">
                  <c:v>1.512269825111479</c:v>
                </c:pt>
                <c:pt idx="13">
                  <c:v>1.38936679180485</c:v>
                </c:pt>
                <c:pt idx="14">
                  <c:v>1.271173921332671</c:v>
                </c:pt>
                <c:pt idx="15">
                  <c:v>1.157734317090505</c:v>
                </c:pt>
                <c:pt idx="16">
                  <c:v>1.049091429403737</c:v>
                </c:pt>
                <c:pt idx="17">
                  <c:v>0.945289058134567</c:v>
                </c:pt>
                <c:pt idx="18">
                  <c:v>0.846371355307769</c:v>
                </c:pt>
                <c:pt idx="19">
                  <c:v>0.810258429890374</c:v>
                </c:pt>
                <c:pt idx="20">
                  <c:v>0.718649034761925</c:v>
                </c:pt>
                <c:pt idx="21">
                  <c:v>0.632043399097261</c:v>
                </c:pt>
                <c:pt idx="22">
                  <c:v>0.600531291893703</c:v>
                </c:pt>
                <c:pt idx="23">
                  <c:v>0.521428324862137</c:v>
                </c:pt>
                <c:pt idx="24">
                  <c:v>0.492196006466121</c:v>
                </c:pt>
                <c:pt idx="25">
                  <c:v>0.420717295425172</c:v>
                </c:pt>
                <c:pt idx="26">
                  <c:v>0.393823942504367</c:v>
                </c:pt>
                <c:pt idx="27">
                  <c:v>0.330092911619875</c:v>
                </c:pt>
                <c:pt idx="28">
                  <c:v>0.30559879188193</c:v>
                </c:pt>
                <c:pt idx="29">
                  <c:v>0.280958319778551</c:v>
                </c:pt>
                <c:pt idx="30">
                  <c:v>0.227707218537205</c:v>
                </c:pt>
                <c:pt idx="31">
                  <c:v>0.205542058159189</c:v>
                </c:pt>
                <c:pt idx="32">
                  <c:v>0.183244460947914</c:v>
                </c:pt>
                <c:pt idx="33">
                  <c:v>0.140711931144138</c:v>
                </c:pt>
                <c:pt idx="34">
                  <c:v>0.120967687800046</c:v>
                </c:pt>
                <c:pt idx="35">
                  <c:v>0.101105472601972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25024"/>
        <c:axId val="2053127504"/>
      </c:scatterChart>
      <c:valAx>
        <c:axId val="20531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27504"/>
        <c:crosses val="autoZero"/>
        <c:crossBetween val="midCat"/>
      </c:valAx>
      <c:valAx>
        <c:axId val="20531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2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Main!$P$12</c:f>
              <c:strCache>
                <c:ptCount val="1"/>
                <c:pt idx="0">
                  <c:v>EWF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Main!$P$13:$P$48</c:f>
              <c:numCache>
                <c:formatCode>General</c:formatCode>
                <c:ptCount val="36"/>
                <c:pt idx="0">
                  <c:v>0.700825959633297</c:v>
                </c:pt>
                <c:pt idx="1">
                  <c:v>0.780420110948592</c:v>
                </c:pt>
                <c:pt idx="2">
                  <c:v>0.676103317899646</c:v>
                </c:pt>
                <c:pt idx="3">
                  <c:v>0.723871819371218</c:v>
                </c:pt>
                <c:pt idx="4">
                  <c:v>0.661992927656706</c:v>
                </c:pt>
                <c:pt idx="5">
                  <c:v>0.757715568117319</c:v>
                </c:pt>
                <c:pt idx="6">
                  <c:v>0.646347789291955</c:v>
                </c:pt>
                <c:pt idx="7">
                  <c:v>0.704162325979821</c:v>
                </c:pt>
                <c:pt idx="8">
                  <c:v>0.70917412452761</c:v>
                </c:pt>
                <c:pt idx="9">
                  <c:v>0.653079334482811</c:v>
                </c:pt>
                <c:pt idx="10">
                  <c:v>0.645068787795762</c:v>
                </c:pt>
                <c:pt idx="11">
                  <c:v>0.650904975501845</c:v>
                </c:pt>
                <c:pt idx="12">
                  <c:v>0.615289967715098</c:v>
                </c:pt>
                <c:pt idx="13">
                  <c:v>0.595839313888706</c:v>
                </c:pt>
                <c:pt idx="14">
                  <c:v>0.651245666952607</c:v>
                </c:pt>
                <c:pt idx="15">
                  <c:v>0.581700179878943</c:v>
                </c:pt>
                <c:pt idx="16">
                  <c:v>0.620574643583107</c:v>
                </c:pt>
                <c:pt idx="17">
                  <c:v>0.599920556540243</c:v>
                </c:pt>
                <c:pt idx="18">
                  <c:v>0.570991946199614</c:v>
                </c:pt>
                <c:pt idx="19">
                  <c:v>0.573838118704875</c:v>
                </c:pt>
                <c:pt idx="20">
                  <c:v>0.601494471951899</c:v>
                </c:pt>
                <c:pt idx="21">
                  <c:v>0.589022639202874</c:v>
                </c:pt>
                <c:pt idx="22">
                  <c:v>0.537909619362557</c:v>
                </c:pt>
                <c:pt idx="23">
                  <c:v>0.559986172860037</c:v>
                </c:pt>
                <c:pt idx="24">
                  <c:v>0.515809016037033</c:v>
                </c:pt>
                <c:pt idx="25">
                  <c:v>0.528433006327803</c:v>
                </c:pt>
                <c:pt idx="26">
                  <c:v>0.503293984143799</c:v>
                </c:pt>
                <c:pt idx="27">
                  <c:v>0.526908535828017</c:v>
                </c:pt>
                <c:pt idx="28">
                  <c:v>0.51431943234273</c:v>
                </c:pt>
                <c:pt idx="29">
                  <c:v>0.483566339357442</c:v>
                </c:pt>
                <c:pt idx="30">
                  <c:v>0.489213747801389</c:v>
                </c:pt>
                <c:pt idx="31">
                  <c:v>0.465600953728235</c:v>
                </c:pt>
                <c:pt idx="32">
                  <c:v>0.466212436709625</c:v>
                </c:pt>
                <c:pt idx="33">
                  <c:v>0.453940274413844</c:v>
                </c:pt>
                <c:pt idx="34">
                  <c:v>0.452709346011209</c:v>
                </c:pt>
                <c:pt idx="35">
                  <c:v>0.440364164224796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47888"/>
        <c:axId val="2053150368"/>
      </c:scatterChart>
      <c:valAx>
        <c:axId val="20531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50368"/>
        <c:crosses val="autoZero"/>
        <c:crossBetween val="midCat"/>
      </c:valAx>
      <c:valAx>
        <c:axId val="205315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4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Main!$Q$12</c:f>
              <c:strCache>
                <c:ptCount val="1"/>
                <c:pt idx="0">
                  <c:v>ECF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Main!$Q$13:$Q$48</c:f>
              <c:numCache>
                <c:formatCode>General</c:formatCode>
                <c:ptCount val="36"/>
                <c:pt idx="0">
                  <c:v>0.105123893944995</c:v>
                </c:pt>
                <c:pt idx="1">
                  <c:v>0.117063016642289</c:v>
                </c:pt>
                <c:pt idx="2">
                  <c:v>0.101415497684947</c:v>
                </c:pt>
                <c:pt idx="3">
                  <c:v>0.108580772905683</c:v>
                </c:pt>
                <c:pt idx="4">
                  <c:v>0.0992989391485059</c:v>
                </c:pt>
                <c:pt idx="5">
                  <c:v>0.113657335217598</c:v>
                </c:pt>
                <c:pt idx="6">
                  <c:v>0.0969521683937933</c:v>
                </c:pt>
                <c:pt idx="7">
                  <c:v>0.105624348896973</c:v>
                </c:pt>
                <c:pt idx="8">
                  <c:v>0.106376118679142</c:v>
                </c:pt>
                <c:pt idx="9">
                  <c:v>0.0979619001724217</c:v>
                </c:pt>
                <c:pt idx="10">
                  <c:v>0.0967603181693643</c:v>
                </c:pt>
                <c:pt idx="11">
                  <c:v>0.0976357463252767</c:v>
                </c:pt>
                <c:pt idx="12">
                  <c:v>0.0922934951572647</c:v>
                </c:pt>
                <c:pt idx="13">
                  <c:v>0.0893758970833059</c:v>
                </c:pt>
                <c:pt idx="14">
                  <c:v>0.097686850042891</c:v>
                </c:pt>
                <c:pt idx="15">
                  <c:v>0.0872550269818414</c:v>
                </c:pt>
                <c:pt idx="16">
                  <c:v>0.093086196537466</c:v>
                </c:pt>
                <c:pt idx="17">
                  <c:v>0.0899880834810364</c:v>
                </c:pt>
                <c:pt idx="18">
                  <c:v>0.085648791929942</c:v>
                </c:pt>
                <c:pt idx="19">
                  <c:v>0.0860757178057313</c:v>
                </c:pt>
                <c:pt idx="20">
                  <c:v>0.0902241707927848</c:v>
                </c:pt>
                <c:pt idx="21">
                  <c:v>0.088353395880431</c:v>
                </c:pt>
                <c:pt idx="22">
                  <c:v>0.0806864429043835</c:v>
                </c:pt>
                <c:pt idx="23">
                  <c:v>0.0839979259290055</c:v>
                </c:pt>
                <c:pt idx="24">
                  <c:v>0.0773713524055549</c:v>
                </c:pt>
                <c:pt idx="25">
                  <c:v>0.0792649509491704</c:v>
                </c:pt>
                <c:pt idx="26">
                  <c:v>0.0754940976215699</c:v>
                </c:pt>
                <c:pt idx="27">
                  <c:v>0.0790362803742025</c:v>
                </c:pt>
                <c:pt idx="28">
                  <c:v>0.0771479148514094</c:v>
                </c:pt>
                <c:pt idx="29">
                  <c:v>0.0725349509036162</c:v>
                </c:pt>
                <c:pt idx="30">
                  <c:v>0.0733820621702083</c:v>
                </c:pt>
                <c:pt idx="31">
                  <c:v>0.0698401430592352</c:v>
                </c:pt>
                <c:pt idx="32">
                  <c:v>0.0699318655064438</c:v>
                </c:pt>
                <c:pt idx="33">
                  <c:v>0.0680910411620765</c:v>
                </c:pt>
                <c:pt idx="34">
                  <c:v>0.0679064019016814</c:v>
                </c:pt>
                <c:pt idx="35">
                  <c:v>0.0660546246337194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71376"/>
        <c:axId val="2053173856"/>
      </c:scatterChart>
      <c:valAx>
        <c:axId val="205317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73856"/>
        <c:crosses val="autoZero"/>
        <c:crossBetween val="midCat"/>
      </c:valAx>
      <c:valAx>
        <c:axId val="20531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7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Main!$R$12</c:f>
              <c:strCache>
                <c:ptCount val="1"/>
                <c:pt idx="0">
                  <c:v>ERF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Main!$R$13:$R$48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0.3078</c:v>
                </c:pt>
                <c:pt idx="3">
                  <c:v>0.4788</c:v>
                </c:pt>
                <c:pt idx="4">
                  <c:v>0.513</c:v>
                </c:pt>
                <c:pt idx="5">
                  <c:v>0.500185320069076</c:v>
                </c:pt>
                <c:pt idx="6">
                  <c:v>0.454807800930527</c:v>
                </c:pt>
                <c:pt idx="7">
                  <c:v>0.426893219619646</c:v>
                </c:pt>
                <c:pt idx="8">
                  <c:v>0.384400034415779</c:v>
                </c:pt>
                <c:pt idx="9">
                  <c:v>0.358525067691818</c:v>
                </c:pt>
                <c:pt idx="10">
                  <c:v>0.318966423440993</c:v>
                </c:pt>
                <c:pt idx="11">
                  <c:v>0.295171247195722</c:v>
                </c:pt>
                <c:pt idx="12">
                  <c:v>0.272208568520066</c:v>
                </c:pt>
                <c:pt idx="13">
                  <c:v>0.250086022524873</c:v>
                </c:pt>
                <c:pt idx="14">
                  <c:v>0.228811305839881</c:v>
                </c:pt>
                <c:pt idx="15">
                  <c:v>0.208392177076291</c:v>
                </c:pt>
                <c:pt idx="16">
                  <c:v>0.188836457292673</c:v>
                </c:pt>
                <c:pt idx="17">
                  <c:v>0.170152030464222</c:v>
                </c:pt>
                <c:pt idx="18">
                  <c:v>0.152346843955399</c:v>
                </c:pt>
                <c:pt idx="19">
                  <c:v>0.145846517380267</c:v>
                </c:pt>
                <c:pt idx="20">
                  <c:v>0.129356826257147</c:v>
                </c:pt>
                <c:pt idx="21">
                  <c:v>0.113767811837507</c:v>
                </c:pt>
                <c:pt idx="22">
                  <c:v>0.108095632540867</c:v>
                </c:pt>
                <c:pt idx="23">
                  <c:v>0.0938570984751846</c:v>
                </c:pt>
                <c:pt idx="24">
                  <c:v>0.0885952811639018</c:v>
                </c:pt>
                <c:pt idx="25">
                  <c:v>0.0757291131765309</c:v>
                </c:pt>
                <c:pt idx="26">
                  <c:v>0.0708883096507861</c:v>
                </c:pt>
                <c:pt idx="27">
                  <c:v>0.0594167240915774</c:v>
                </c:pt>
                <c:pt idx="28">
                  <c:v>0.0550077825387475</c:v>
                </c:pt>
                <c:pt idx="29">
                  <c:v>0.0505724975601392</c:v>
                </c:pt>
                <c:pt idx="30">
                  <c:v>0.0409872993366969</c:v>
                </c:pt>
                <c:pt idx="31">
                  <c:v>0.036997570468654</c:v>
                </c:pt>
                <c:pt idx="32">
                  <c:v>0.0329840029706245</c:v>
                </c:pt>
                <c:pt idx="33">
                  <c:v>0.0253281476059449</c:v>
                </c:pt>
                <c:pt idx="34">
                  <c:v>0.0217741838040082</c:v>
                </c:pt>
                <c:pt idx="35">
                  <c:v>0.018198985068355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00176"/>
        <c:axId val="2053202656"/>
      </c:scatterChart>
      <c:valAx>
        <c:axId val="205320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02656"/>
        <c:crosses val="autoZero"/>
        <c:crossBetween val="midCat"/>
      </c:valAx>
      <c:valAx>
        <c:axId val="205320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0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Main!$S$12</c:f>
              <c:strCache>
                <c:ptCount val="1"/>
                <c:pt idx="0">
                  <c:v>ESF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Main!$S$13:$S$48</c:f>
              <c:numCache>
                <c:formatCode>General</c:formatCode>
                <c:ptCount val="36"/>
                <c:pt idx="0">
                  <c:v>3.016619739619627</c:v>
                </c:pt>
                <c:pt idx="1">
                  <c:v>3.0471986732946</c:v>
                </c:pt>
                <c:pt idx="2">
                  <c:v>3.010671911465185</c:v>
                </c:pt>
                <c:pt idx="3">
                  <c:v>2.989932139917974</c:v>
                </c:pt>
                <c:pt idx="4">
                  <c:v>2.960525001157004</c:v>
                </c:pt>
                <c:pt idx="5">
                  <c:v>2.940713876096982</c:v>
                </c:pt>
                <c:pt idx="6">
                  <c:v>2.902948918951316</c:v>
                </c:pt>
                <c:pt idx="7">
                  <c:v>2.884066440378482</c:v>
                </c:pt>
                <c:pt idx="8">
                  <c:v>2.853111557472198</c:v>
                </c:pt>
                <c:pt idx="9">
                  <c:v>2.819370735104349</c:v>
                </c:pt>
                <c:pt idx="10">
                  <c:v>2.795225926437447</c:v>
                </c:pt>
                <c:pt idx="11">
                  <c:v>2.77139066659961</c:v>
                </c:pt>
                <c:pt idx="12">
                  <c:v>3.076449838575492</c:v>
                </c:pt>
                <c:pt idx="13">
                  <c:v>2.979196569443532</c:v>
                </c:pt>
                <c:pt idx="14">
                  <c:v>3.256228334763034</c:v>
                </c:pt>
                <c:pt idx="15">
                  <c:v>2.908500899394713</c:v>
                </c:pt>
                <c:pt idx="16">
                  <c:v>3.102873217915535</c:v>
                </c:pt>
                <c:pt idx="17">
                  <c:v>2.999602782701213</c:v>
                </c:pt>
                <c:pt idx="18">
                  <c:v>2.854959730998068</c:v>
                </c:pt>
                <c:pt idx="19">
                  <c:v>2.869190593524377</c:v>
                </c:pt>
                <c:pt idx="20">
                  <c:v>3.007472359759496</c:v>
                </c:pt>
                <c:pt idx="21">
                  <c:v>2.945113196014369</c:v>
                </c:pt>
                <c:pt idx="22">
                  <c:v>2.689548096812786</c:v>
                </c:pt>
                <c:pt idx="23">
                  <c:v>2.799930864300183</c:v>
                </c:pt>
                <c:pt idx="24">
                  <c:v>2.579045080185165</c:v>
                </c:pt>
                <c:pt idx="25">
                  <c:v>2.642165031639013</c:v>
                </c:pt>
                <c:pt idx="26">
                  <c:v>2.516469920718996</c:v>
                </c:pt>
                <c:pt idx="27">
                  <c:v>2.634542679140082</c:v>
                </c:pt>
                <c:pt idx="28">
                  <c:v>2.571597161713648</c:v>
                </c:pt>
                <c:pt idx="29">
                  <c:v>2.417831696787208</c:v>
                </c:pt>
                <c:pt idx="30">
                  <c:v>2.446068739006945</c:v>
                </c:pt>
                <c:pt idx="31">
                  <c:v>2.328004768641174</c:v>
                </c:pt>
                <c:pt idx="32">
                  <c:v>2.331062183548128</c:v>
                </c:pt>
                <c:pt idx="33">
                  <c:v>2.269701372069218</c:v>
                </c:pt>
                <c:pt idx="34">
                  <c:v>2.263546730056046</c:v>
                </c:pt>
                <c:pt idx="35">
                  <c:v>2.201820821123982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18592"/>
        <c:axId val="2053221072"/>
      </c:scatterChart>
      <c:valAx>
        <c:axId val="205321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21072"/>
        <c:crosses val="autoZero"/>
        <c:crossBetween val="midCat"/>
      </c:valAx>
      <c:valAx>
        <c:axId val="20532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1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Main!$T$12</c:f>
              <c:strCache>
                <c:ptCount val="1"/>
                <c:pt idx="0">
                  <c:v>ETP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Main!$T$13:$T$48</c:f>
              <c:numCache>
                <c:formatCode>General</c:formatCode>
                <c:ptCount val="36"/>
                <c:pt idx="0">
                  <c:v>346.5904102234506</c:v>
                </c:pt>
                <c:pt idx="1">
                  <c:v>386.2653736734105</c:v>
                </c:pt>
                <c:pt idx="2">
                  <c:v>335.6656682227734</c:v>
                </c:pt>
                <c:pt idx="3">
                  <c:v>360.2947249534144</c:v>
                </c:pt>
                <c:pt idx="4">
                  <c:v>329.6116469603911</c:v>
                </c:pt>
                <c:pt idx="5">
                  <c:v>377.3243192928757</c:v>
                </c:pt>
                <c:pt idx="6">
                  <c:v>321.5995479735798</c:v>
                </c:pt>
                <c:pt idx="7">
                  <c:v>350.3320456529225</c:v>
                </c:pt>
                <c:pt idx="8">
                  <c:v>352.6695561754648</c:v>
                </c:pt>
                <c:pt idx="9">
                  <c:v>324.6025361355756</c:v>
                </c:pt>
                <c:pt idx="10">
                  <c:v>320.4504081278209</c:v>
                </c:pt>
                <c:pt idx="11">
                  <c:v>323.2772253774986</c:v>
                </c:pt>
                <c:pt idx="12">
                  <c:v>305.1010118126927</c:v>
                </c:pt>
                <c:pt idx="13">
                  <c:v>295.3945259332176</c:v>
                </c:pt>
                <c:pt idx="14">
                  <c:v>322.6600352400376</c:v>
                </c:pt>
                <c:pt idx="15">
                  <c:v>288.22197597323</c:v>
                </c:pt>
                <c:pt idx="16">
                  <c:v>307.3310427056285</c:v>
                </c:pt>
                <c:pt idx="17">
                  <c:v>297.045903875069</c:v>
                </c:pt>
                <c:pt idx="18">
                  <c:v>282.6783971420315</c:v>
                </c:pt>
                <c:pt idx="19">
                  <c:v>284.0543668349128</c:v>
                </c:pt>
                <c:pt idx="20">
                  <c:v>297.6373371819502</c:v>
                </c:pt>
                <c:pt idx="21">
                  <c:v>291.407105957599</c:v>
                </c:pt>
                <c:pt idx="22">
                  <c:v>266.1391011815517</c:v>
                </c:pt>
                <c:pt idx="23">
                  <c:v>276.976742693316</c:v>
                </c:pt>
                <c:pt idx="24">
                  <c:v>255.1358832951909</c:v>
                </c:pt>
                <c:pt idx="25">
                  <c:v>261.3116283572339</c:v>
                </c:pt>
                <c:pt idx="26">
                  <c:v>248.8746697022688</c:v>
                </c:pt>
                <c:pt idx="27">
                  <c:v>260.4844566061943</c:v>
                </c:pt>
                <c:pt idx="28">
                  <c:v>254.2472426718003</c:v>
                </c:pt>
                <c:pt idx="29">
                  <c:v>239.0396225138909</c:v>
                </c:pt>
                <c:pt idx="30">
                  <c:v>241.7849292709165</c:v>
                </c:pt>
                <c:pt idx="31">
                  <c:v>230.1055754863793</c:v>
                </c:pt>
                <c:pt idx="32">
                  <c:v>230.3892723270258</c:v>
                </c:pt>
                <c:pt idx="33">
                  <c:v>224.293788302815</c:v>
                </c:pt>
                <c:pt idx="34">
                  <c:v>223.6697040316317</c:v>
                </c:pt>
                <c:pt idx="35">
                  <c:v>217.5567489899493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41536"/>
        <c:axId val="2053244016"/>
      </c:scatterChart>
      <c:valAx>
        <c:axId val="205324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44016"/>
        <c:crosses val="autoZero"/>
        <c:crossBetween val="midCat"/>
      </c:valAx>
      <c:valAx>
        <c:axId val="205324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4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Main!$U$12</c:f>
              <c:strCache>
                <c:ptCount val="1"/>
                <c:pt idx="0">
                  <c:v>EEB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Main!$U$13:$U$48</c:f>
              <c:numCache>
                <c:formatCode>General</c:formatCode>
                <c:ptCount val="36"/>
                <c:pt idx="0">
                  <c:v>9703.348636183353</c:v>
                </c:pt>
                <c:pt idx="1">
                  <c:v>9370.487216454263</c:v>
                </c:pt>
                <c:pt idx="2">
                  <c:v>9069.636429505913</c:v>
                </c:pt>
                <c:pt idx="3">
                  <c:v>8733.062195388053</c:v>
                </c:pt>
                <c:pt idx="4">
                  <c:v>8423.44936086189</c:v>
                </c:pt>
                <c:pt idx="5">
                  <c:v>8064.928641796405</c:v>
                </c:pt>
                <c:pt idx="6">
                  <c:v>7762.666627575016</c:v>
                </c:pt>
                <c:pt idx="7">
                  <c:v>7431.379540569427</c:v>
                </c:pt>
                <c:pt idx="8">
                  <c:v>7098.146144704978</c:v>
                </c:pt>
                <c:pt idx="9">
                  <c:v>6792.529161629365</c:v>
                </c:pt>
                <c:pt idx="10">
                  <c:v>6491.450085392867</c:v>
                </c:pt>
                <c:pt idx="11">
                  <c:v>6187.084134920316</c:v>
                </c:pt>
                <c:pt idx="12">
                  <c:v>5900.087103485622</c:v>
                </c:pt>
                <c:pt idx="13">
                  <c:v>5622.429967947506</c:v>
                </c:pt>
                <c:pt idx="14">
                  <c:v>5316.68894152634</c:v>
                </c:pt>
                <c:pt idx="15">
                  <c:v>5045.116946264965</c:v>
                </c:pt>
                <c:pt idx="16">
                  <c:v>4753.656301977175</c:v>
                </c:pt>
                <c:pt idx="17">
                  <c:v>4471.900110526992</c:v>
                </c:pt>
                <c:pt idx="18">
                  <c:v>4203.987653429313</c:v>
                </c:pt>
                <c:pt idx="19">
                  <c:v>3933.451906411258</c:v>
                </c:pt>
                <c:pt idx="20">
                  <c:v>3648.455845556084</c:v>
                </c:pt>
                <c:pt idx="21">
                  <c:v>3368.92322622031</c:v>
                </c:pt>
                <c:pt idx="22">
                  <c:v>3113.623598545812</c:v>
                </c:pt>
                <c:pt idx="23">
                  <c:v>2846.609950808837</c:v>
                </c:pt>
                <c:pt idx="24">
                  <c:v>2600.41075809451</c:v>
                </c:pt>
                <c:pt idx="25">
                  <c:v>2347.194223281688</c:v>
                </c:pt>
                <c:pt idx="26">
                  <c:v>2105.329458008836</c:v>
                </c:pt>
                <c:pt idx="27">
                  <c:v>1850.894969817617</c:v>
                </c:pt>
                <c:pt idx="28">
                  <c:v>1601.501856136107</c:v>
                </c:pt>
                <c:pt idx="29">
                  <c:v>1366.26490899927</c:v>
                </c:pt>
                <c:pt idx="30">
                  <c:v>1127.369317357816</c:v>
                </c:pt>
                <c:pt idx="31">
                  <c:v>899.094001654039</c:v>
                </c:pt>
                <c:pt idx="32">
                  <c:v>669.3966385114868</c:v>
                </c:pt>
                <c:pt idx="33">
                  <c:v>444.9221507242377</c:v>
                </c:pt>
                <c:pt idx="34">
                  <c:v>219.9385762541209</c:v>
                </c:pt>
                <c:pt idx="35">
                  <c:v>9.5637453512154E-11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64400"/>
        <c:axId val="2053266880"/>
      </c:scatterChart>
      <c:valAx>
        <c:axId val="205326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66880"/>
        <c:crosses val="autoZero"/>
        <c:crossBetween val="midCat"/>
      </c:valAx>
      <c:valAx>
        <c:axId val="205326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6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Main!$V$12</c:f>
              <c:strCache>
                <c:ptCount val="1"/>
                <c:pt idx="0">
                  <c:v>EPU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Main!$V$13:$V$48</c:f>
              <c:numCache>
                <c:formatCode>General</c:formatCode>
                <c:ptCount val="36"/>
                <c:pt idx="0">
                  <c:v>0.5</c:v>
                </c:pt>
                <c:pt idx="1">
                  <c:v>0.9</c:v>
                </c:pt>
                <c:pt idx="2">
                  <c:v>0.4</c:v>
                </c:pt>
                <c:pt idx="3">
                  <c:v>0.7</c:v>
                </c:pt>
                <c:pt idx="4">
                  <c:v>0.4</c:v>
                </c:pt>
                <c:pt idx="5">
                  <c:v>1.0</c:v>
                </c:pt>
                <c:pt idx="6">
                  <c:v>0.4</c:v>
                </c:pt>
                <c:pt idx="7">
                  <c:v>0.8</c:v>
                </c:pt>
                <c:pt idx="8">
                  <c:v>0.9</c:v>
                </c:pt>
                <c:pt idx="9">
                  <c:v>0.6</c:v>
                </c:pt>
                <c:pt idx="10">
                  <c:v>0.6</c:v>
                </c:pt>
                <c:pt idx="11">
                  <c:v>0.7</c:v>
                </c:pt>
                <c:pt idx="12">
                  <c:v>0.5</c:v>
                </c:pt>
                <c:pt idx="13">
                  <c:v>0.4</c:v>
                </c:pt>
                <c:pt idx="14">
                  <c:v>0.9</c:v>
                </c:pt>
                <c:pt idx="15">
                  <c:v>0.4</c:v>
                </c:pt>
                <c:pt idx="16">
                  <c:v>0.8</c:v>
                </c:pt>
                <c:pt idx="17">
                  <c:v>0.7</c:v>
                </c:pt>
                <c:pt idx="18">
                  <c:v>0.5</c:v>
                </c:pt>
                <c:pt idx="19">
                  <c:v>0.6</c:v>
                </c:pt>
                <c:pt idx="20">
                  <c:v>1.0</c:v>
                </c:pt>
                <c:pt idx="21">
                  <c:v>1.0</c:v>
                </c:pt>
                <c:pt idx="22">
                  <c:v>0.5</c:v>
                </c:pt>
                <c:pt idx="23">
                  <c:v>0.9</c:v>
                </c:pt>
                <c:pt idx="24">
                  <c:v>0.4</c:v>
                </c:pt>
                <c:pt idx="25">
                  <c:v>0.7</c:v>
                </c:pt>
                <c:pt idx="26">
                  <c:v>0.4</c:v>
                </c:pt>
                <c:pt idx="27">
                  <c:v>1.0</c:v>
                </c:pt>
                <c:pt idx="28">
                  <c:v>1.0</c:v>
                </c:pt>
                <c:pt idx="29">
                  <c:v>0.5</c:v>
                </c:pt>
                <c:pt idx="30">
                  <c:v>0.9</c:v>
                </c:pt>
                <c:pt idx="31">
                  <c:v>0.4</c:v>
                </c:pt>
                <c:pt idx="32">
                  <c:v>0.7</c:v>
                </c:pt>
                <c:pt idx="33">
                  <c:v>0.4</c:v>
                </c:pt>
                <c:pt idx="34">
                  <c:v>1.0</c:v>
                </c:pt>
                <c:pt idx="35">
                  <c:v>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87264"/>
        <c:axId val="2053289744"/>
      </c:scatterChart>
      <c:valAx>
        <c:axId val="205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89744"/>
        <c:crosses val="autoZero"/>
        <c:crossBetween val="midCat"/>
      </c:valAx>
      <c:valAx>
        <c:axId val="205328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Main!$W$12</c:f>
              <c:strCache>
                <c:ptCount val="1"/>
                <c:pt idx="0">
                  <c:v>DPOR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Main!$W$13:$W$48</c:f>
              <c:numCache>
                <c:formatCode>General</c:formatCode>
                <c:ptCount val="36"/>
                <c:pt idx="0">
                  <c:v>0.00487510058546858</c:v>
                </c:pt>
                <c:pt idx="1">
                  <c:v>0.0085490188144836</c:v>
                </c:pt>
                <c:pt idx="2">
                  <c:v>0.00369844678033048</c:v>
                </c:pt>
                <c:pt idx="3">
                  <c:v>0.00629426956938118</c:v>
                </c:pt>
                <c:pt idx="4">
                  <c:v>0.00349439637126528</c:v>
                </c:pt>
                <c:pt idx="5">
                  <c:v>0.00847863964489614</c:v>
                </c:pt>
                <c:pt idx="6">
                  <c:v>0.00328790027508462</c:v>
                </c:pt>
                <c:pt idx="7">
                  <c:v>0.00636745189520622</c:v>
                </c:pt>
                <c:pt idx="8">
                  <c:v>0.00692759065165853</c:v>
                </c:pt>
                <c:pt idx="9">
                  <c:v>0.00446025937309709</c:v>
                </c:pt>
                <c:pt idx="10">
                  <c:v>0.00430118012541364</c:v>
                </c:pt>
                <c:pt idx="11">
                  <c:v>0.00483134210909616</c:v>
                </c:pt>
                <c:pt idx="12">
                  <c:v>0.00331680371275287</c:v>
                </c:pt>
                <c:pt idx="13">
                  <c:v>0.00254547776032412</c:v>
                </c:pt>
                <c:pt idx="14">
                  <c:v>0.00548295178121307</c:v>
                </c:pt>
                <c:pt idx="15">
                  <c:v>0.00232760820975522</c:v>
                </c:pt>
                <c:pt idx="16">
                  <c:v>0.00443539227436675</c:v>
                </c:pt>
                <c:pt idx="17">
                  <c:v>0.00368747284496134</c:v>
                </c:pt>
                <c:pt idx="18">
                  <c:v>0.00249487236776142</c:v>
                </c:pt>
                <c:pt idx="19">
                  <c:v>0.00282600577875285</c:v>
                </c:pt>
                <c:pt idx="20">
                  <c:v>0.00442860310973865</c:v>
                </c:pt>
                <c:pt idx="21">
                  <c:v>0.0041455151842565</c:v>
                </c:pt>
                <c:pt idx="22">
                  <c:v>0.00193036790420979</c:v>
                </c:pt>
                <c:pt idx="23">
                  <c:v>0.00321682938823085</c:v>
                </c:pt>
                <c:pt idx="24">
                  <c:v>0.00131442488785288</c:v>
                </c:pt>
                <c:pt idx="25">
                  <c:v>0.00209730332863215</c:v>
                </c:pt>
                <c:pt idx="26">
                  <c:v>0.001081800306101</c:v>
                </c:pt>
                <c:pt idx="27">
                  <c:v>0.00241111132826203</c:v>
                </c:pt>
                <c:pt idx="28">
                  <c:v>0.00211596888938555</c:v>
                </c:pt>
                <c:pt idx="29">
                  <c:v>0.000909531487218388</c:v>
                </c:pt>
                <c:pt idx="30">
                  <c:v>0.00136834474198158</c:v>
                </c:pt>
                <c:pt idx="31">
                  <c:v>0.000487967402514826</c:v>
                </c:pt>
                <c:pt idx="32">
                  <c:v>0.000642361083209502</c:v>
                </c:pt>
                <c:pt idx="33">
                  <c:v>0.000245437148764394</c:v>
                </c:pt>
                <c:pt idx="34">
                  <c:v>0.000307710260257805</c:v>
                </c:pt>
                <c:pt idx="35">
                  <c:v>3.00204305858642E-18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10832"/>
        <c:axId val="2053313312"/>
      </c:scatterChart>
      <c:valAx>
        <c:axId val="205331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13312"/>
        <c:crosses val="autoZero"/>
        <c:crossBetween val="midCat"/>
      </c:valAx>
      <c:valAx>
        <c:axId val="20533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1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Main!$X$12</c:f>
              <c:strCache>
                <c:ptCount val="1"/>
                <c:pt idx="0">
                  <c:v>SMM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Main!$X$13:$X$48</c:f>
              <c:numCache>
                <c:formatCode>General</c:formatCode>
                <c:ptCount val="36"/>
                <c:pt idx="0">
                  <c:v>0.005</c:v>
                </c:pt>
                <c:pt idx="1">
                  <c:v>0.00904340961414637</c:v>
                </c:pt>
                <c:pt idx="2">
                  <c:v>0.00405476604802652</c:v>
                </c:pt>
                <c:pt idx="3">
                  <c:v>0.00713606202897717</c:v>
                </c:pt>
                <c:pt idx="4">
                  <c:v>0.00411841352653173</c:v>
                </c:pt>
                <c:pt idx="5">
                  <c:v>0.010370768607471</c:v>
                </c:pt>
                <c:pt idx="6">
                  <c:v>0.00420507800669487</c:v>
                </c:pt>
                <c:pt idx="7">
                  <c:v>0.00847082636603107</c:v>
                </c:pt>
                <c:pt idx="8">
                  <c:v>0.00963910142588793</c:v>
                </c:pt>
                <c:pt idx="9">
                  <c:v>0.0065062892848553</c:v>
                </c:pt>
                <c:pt idx="10">
                  <c:v>0.00656622249316184</c:v>
                </c:pt>
                <c:pt idx="11">
                  <c:v>0.00772999249253971</c:v>
                </c:pt>
                <c:pt idx="12">
                  <c:v>0.00557749813482522</c:v>
                </c:pt>
                <c:pt idx="13">
                  <c:v>0.00449713938629653</c:v>
                </c:pt>
                <c:pt idx="14">
                  <c:v>0.0101861969763848</c:v>
                </c:pt>
                <c:pt idx="15">
                  <c:v>0.00458325583821896</c:v>
                </c:pt>
                <c:pt idx="16">
                  <c:v>0.00922680089163665</c:v>
                </c:pt>
                <c:pt idx="17">
                  <c:v>0.00816382313539757</c:v>
                </c:pt>
                <c:pt idx="18">
                  <c:v>0.00588963632072687</c:v>
                </c:pt>
                <c:pt idx="19">
                  <c:v>0.00712108113509716</c:v>
                </c:pt>
                <c:pt idx="20">
                  <c:v>0.0119735782897695</c:v>
                </c:pt>
                <c:pt idx="21">
                  <c:v>0.0121375509170743</c:v>
                </c:pt>
                <c:pt idx="22">
                  <c:v>0.00615215357912254</c:v>
                </c:pt>
                <c:pt idx="23">
                  <c:v>0.0111586748722684</c:v>
                </c:pt>
                <c:pt idx="24">
                  <c:v>0.00502201848664982</c:v>
                </c:pt>
                <c:pt idx="25">
                  <c:v>0.00884477863526148</c:v>
                </c:pt>
                <c:pt idx="26">
                  <c:v>0.0051052865880118</c:v>
                </c:pt>
                <c:pt idx="27">
                  <c:v>0.0128440587323659</c:v>
                </c:pt>
                <c:pt idx="28">
                  <c:v>0.0130242421910391</c:v>
                </c:pt>
                <c:pt idx="29">
                  <c:v>0.00660454314476262</c:v>
                </c:pt>
                <c:pt idx="30">
                  <c:v>0.0119787020425236</c:v>
                </c:pt>
                <c:pt idx="31">
                  <c:v>0.00539175273532656</c:v>
                </c:pt>
                <c:pt idx="32">
                  <c:v>0.00949013296596444</c:v>
                </c:pt>
                <c:pt idx="33">
                  <c:v>0.00547582900184454</c:v>
                </c:pt>
                <c:pt idx="34">
                  <c:v>0.0137456078839527</c:v>
                </c:pt>
                <c:pt idx="35">
                  <c:v>3.53651288995011E-14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31392"/>
        <c:axId val="2053333872"/>
      </c:scatterChart>
      <c:valAx>
        <c:axId val="20533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33872"/>
        <c:crosses val="autoZero"/>
        <c:crossBetween val="midCat"/>
      </c:valAx>
      <c:valAx>
        <c:axId val="205333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Main!$Y$12</c:f>
              <c:strCache>
                <c:ptCount val="1"/>
                <c:pt idx="0">
                  <c:v>CPR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Main!$Y$13:$Y$48</c:f>
              <c:numCache>
                <c:formatCode>General</c:formatCode>
                <c:ptCount val="36"/>
                <c:pt idx="0">
                  <c:v>0.0583771930856243</c:v>
                </c:pt>
                <c:pt idx="1">
                  <c:v>0.103282668863337</c:v>
                </c:pt>
                <c:pt idx="2">
                  <c:v>0.0475866114918391</c:v>
                </c:pt>
                <c:pt idx="3">
                  <c:v>0.0823504784182073</c:v>
                </c:pt>
                <c:pt idx="4">
                  <c:v>0.0483167408985278</c:v>
                </c:pt>
                <c:pt idx="5">
                  <c:v>0.117590492893236</c:v>
                </c:pt>
                <c:pt idx="6">
                  <c:v>0.0493100839442724</c:v>
                </c:pt>
                <c:pt idx="7">
                  <c:v>0.0970452997261616</c:v>
                </c:pt>
                <c:pt idx="8">
                  <c:v>0.109729828849331</c:v>
                </c:pt>
                <c:pt idx="9">
                  <c:v>0.0753412877812678</c:v>
                </c:pt>
                <c:pt idx="10">
                  <c:v>0.0760104339973978</c:v>
                </c:pt>
                <c:pt idx="11">
                  <c:v>0.088916095973518</c:v>
                </c:pt>
                <c:pt idx="12">
                  <c:v>0.0649145144498352</c:v>
                </c:pt>
                <c:pt idx="13">
                  <c:v>0.0526506795761221</c:v>
                </c:pt>
                <c:pt idx="14">
                  <c:v>0.115613571505882</c:v>
                </c:pt>
                <c:pt idx="15">
                  <c:v>0.053633622705934</c:v>
                </c:pt>
                <c:pt idx="16">
                  <c:v>0.105272053928273</c:v>
                </c:pt>
                <c:pt idx="17">
                  <c:v>0.0936846413259637</c:v>
                </c:pt>
                <c:pt idx="18">
                  <c:v>0.0684305956581695</c:v>
                </c:pt>
                <c:pt idx="19">
                  <c:v>0.0821843124354394</c:v>
                </c:pt>
                <c:pt idx="20">
                  <c:v>0.134588417798773</c:v>
                </c:pt>
                <c:pt idx="21">
                  <c:v>0.136310327487498</c:v>
                </c:pt>
                <c:pt idx="22">
                  <c:v>0.0713783348084622</c:v>
                </c:pt>
                <c:pt idx="23">
                  <c:v>0.125984176923396</c:v>
                </c:pt>
                <c:pt idx="24">
                  <c:v>0.0586272102027047</c:v>
                </c:pt>
                <c:pt idx="25">
                  <c:v>0.101123393637943</c:v>
                </c:pt>
                <c:pt idx="26">
                  <c:v>0.0595721588097467</c:v>
                </c:pt>
                <c:pt idx="27">
                  <c:v>0.143693650451482</c:v>
                </c:pt>
                <c:pt idx="28">
                  <c:v>0.145567365835602</c:v>
                </c:pt>
                <c:pt idx="29">
                  <c:v>0.0764380462488574</c:v>
                </c:pt>
                <c:pt idx="30">
                  <c:v>0.134642270955866</c:v>
                </c:pt>
                <c:pt idx="31">
                  <c:v>0.0628164158342342</c:v>
                </c:pt>
                <c:pt idx="32">
                  <c:v>0.108121543021542</c:v>
                </c:pt>
                <c:pt idx="33">
                  <c:v>0.0637666384794345</c:v>
                </c:pt>
                <c:pt idx="34">
                  <c:v>0.153031217691869</c:v>
                </c:pt>
                <c:pt idx="35">
                  <c:v>4.2499337382651E-13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52032"/>
        <c:axId val="2053354512"/>
      </c:scatterChart>
      <c:valAx>
        <c:axId val="205335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54512"/>
        <c:crosses val="autoZero"/>
        <c:crossBetween val="midCat"/>
      </c:valAx>
      <c:valAx>
        <c:axId val="20533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5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Main!$Z$12</c:f>
              <c:strCache>
                <c:ptCount val="1"/>
                <c:pt idx="0">
                  <c:v>ECU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Main!$Z$13:$Z$48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0.18</c:v>
                </c:pt>
                <c:pt idx="3">
                  <c:v>0.28</c:v>
                </c:pt>
                <c:pt idx="4">
                  <c:v>0.3</c:v>
                </c:pt>
                <c:pt idx="5">
                  <c:v>0.3</c:v>
                </c:pt>
                <c:pt idx="6">
                  <c:v>0.28</c:v>
                </c:pt>
                <c:pt idx="7">
                  <c:v>0.27</c:v>
                </c:pt>
                <c:pt idx="8">
                  <c:v>0.25</c:v>
                </c:pt>
                <c:pt idx="9">
                  <c:v>0.24</c:v>
                </c:pt>
                <c:pt idx="10">
                  <c:v>0.22</c:v>
                </c:pt>
                <c:pt idx="11">
                  <c:v>0.21</c:v>
                </c:pt>
                <c:pt idx="12">
                  <c:v>0.2</c:v>
                </c:pt>
                <c:pt idx="13">
                  <c:v>0.19</c:v>
                </c:pt>
                <c:pt idx="14">
                  <c:v>0.18</c:v>
                </c:pt>
                <c:pt idx="15">
                  <c:v>0.17</c:v>
                </c:pt>
                <c:pt idx="16">
                  <c:v>0.16</c:v>
                </c:pt>
                <c:pt idx="17">
                  <c:v>0.15</c:v>
                </c:pt>
                <c:pt idx="18">
                  <c:v>0.14</c:v>
                </c:pt>
                <c:pt idx="19">
                  <c:v>0.14</c:v>
                </c:pt>
                <c:pt idx="20">
                  <c:v>0.13</c:v>
                </c:pt>
                <c:pt idx="21">
                  <c:v>0.12</c:v>
                </c:pt>
                <c:pt idx="22">
                  <c:v>0.12</c:v>
                </c:pt>
                <c:pt idx="23">
                  <c:v>0.11</c:v>
                </c:pt>
                <c:pt idx="24">
                  <c:v>0.11</c:v>
                </c:pt>
                <c:pt idx="25">
                  <c:v>0.1</c:v>
                </c:pt>
                <c:pt idx="26">
                  <c:v>0.1</c:v>
                </c:pt>
                <c:pt idx="27">
                  <c:v>0.09</c:v>
                </c:pt>
                <c:pt idx="28">
                  <c:v>0.09</c:v>
                </c:pt>
                <c:pt idx="29">
                  <c:v>0.09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0.07</c:v>
                </c:pt>
                <c:pt idx="34">
                  <c:v>0.07</c:v>
                </c:pt>
                <c:pt idx="35">
                  <c:v>0.07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75248"/>
        <c:axId val="2053377728"/>
      </c:scatterChart>
      <c:valAx>
        <c:axId val="205337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77728"/>
        <c:crosses val="autoZero"/>
        <c:crossBetween val="midCat"/>
      </c:valAx>
      <c:valAx>
        <c:axId val="205337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7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Main!$AA$12</c:f>
              <c:strCache>
                <c:ptCount val="1"/>
                <c:pt idx="0">
                  <c:v>DCOR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Main!$AA$13:$AA$48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0.0018</c:v>
                </c:pt>
                <c:pt idx="3">
                  <c:v>0.0028</c:v>
                </c:pt>
                <c:pt idx="4">
                  <c:v>0.003</c:v>
                </c:pt>
                <c:pt idx="5">
                  <c:v>0.00292506035128115</c:v>
                </c:pt>
                <c:pt idx="6">
                  <c:v>0.00265969474228378</c:v>
                </c:pt>
                <c:pt idx="7">
                  <c:v>0.00249645157672307</c:v>
                </c:pt>
                <c:pt idx="8">
                  <c:v>0.00224795341763613</c:v>
                </c:pt>
                <c:pt idx="9">
                  <c:v>0.00209663782275917</c:v>
                </c:pt>
                <c:pt idx="10">
                  <c:v>0.00186530072187715</c:v>
                </c:pt>
                <c:pt idx="11">
                  <c:v>0.00172614764441942</c:v>
                </c:pt>
                <c:pt idx="12">
                  <c:v>0.00159186297380156</c:v>
                </c:pt>
                <c:pt idx="13">
                  <c:v>0.00146249135979458</c:v>
                </c:pt>
                <c:pt idx="14">
                  <c:v>0.00133807781192913</c:v>
                </c:pt>
                <c:pt idx="15">
                  <c:v>0.00121866770220053</c:v>
                </c:pt>
                <c:pt idx="16">
                  <c:v>0.00110430676779341</c:v>
                </c:pt>
                <c:pt idx="17">
                  <c:v>0.00099504111382586</c:v>
                </c:pt>
                <c:pt idx="18">
                  <c:v>0.000890917216113441</c:v>
                </c:pt>
                <c:pt idx="19">
                  <c:v>0.00085290361041092</c:v>
                </c:pt>
                <c:pt idx="20">
                  <c:v>0.000756472668170447</c:v>
                </c:pt>
                <c:pt idx="21">
                  <c:v>0.000665308841155011</c:v>
                </c:pt>
                <c:pt idx="22">
                  <c:v>0.000632138201993372</c:v>
                </c:pt>
                <c:pt idx="23">
                  <c:v>0.000548871920907512</c:v>
                </c:pt>
                <c:pt idx="24">
                  <c:v>0.000518101059438022</c:v>
                </c:pt>
                <c:pt idx="25">
                  <c:v>0.000442860310973865</c:v>
                </c:pt>
                <c:pt idx="26">
                  <c:v>0.000414551518425649</c:v>
                </c:pt>
                <c:pt idx="27">
                  <c:v>0.000347466222757763</c:v>
                </c:pt>
                <c:pt idx="28">
                  <c:v>0.000321682938823085</c:v>
                </c:pt>
                <c:pt idx="29">
                  <c:v>0.000295745599766896</c:v>
                </c:pt>
                <c:pt idx="30">
                  <c:v>0.000239691808986532</c:v>
                </c:pt>
                <c:pt idx="31">
                  <c:v>0.000216360061220199</c:v>
                </c:pt>
                <c:pt idx="32">
                  <c:v>0.000192888906260962</c:v>
                </c:pt>
                <c:pt idx="33">
                  <c:v>0.000148117822256988</c:v>
                </c:pt>
                <c:pt idx="34">
                  <c:v>0.000127334408210574</c:v>
                </c:pt>
                <c:pt idx="35">
                  <c:v>0.000106426813265234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97904"/>
        <c:axId val="2053400384"/>
      </c:scatterChart>
      <c:valAx>
        <c:axId val="20533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00384"/>
        <c:crosses val="autoZero"/>
        <c:crossBetween val="midCat"/>
      </c:valAx>
      <c:valAx>
        <c:axId val="2053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9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Main!$AB$12</c:f>
              <c:strCache>
                <c:ptCount val="1"/>
                <c:pt idx="0">
                  <c:v>MDR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Main!$AB$13:$AB$48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0.00192092466316934</c:v>
                </c:pt>
                <c:pt idx="3">
                  <c:v>0.00308722408198289</c:v>
                </c:pt>
                <c:pt idx="4">
                  <c:v>0.00343522115482506</c:v>
                </c:pt>
                <c:pt idx="5">
                  <c:v>0.00347252084742378</c:v>
                </c:pt>
                <c:pt idx="6">
                  <c:v>0.00329785279004199</c:v>
                </c:pt>
                <c:pt idx="7">
                  <c:v>0.00321597164543306</c:v>
                </c:pt>
                <c:pt idx="8">
                  <c:v>0.00302494766330275</c:v>
                </c:pt>
                <c:pt idx="9">
                  <c:v>0.00295378226936508</c:v>
                </c:pt>
                <c:pt idx="10">
                  <c:v>0.00274610631399882</c:v>
                </c:pt>
                <c:pt idx="11">
                  <c:v>0.00265910947740879</c:v>
                </c:pt>
                <c:pt idx="12">
                  <c:v>0.00257288076109548</c:v>
                </c:pt>
                <c:pt idx="13">
                  <c:v>0.00247876232018774</c:v>
                </c:pt>
                <c:pt idx="14">
                  <c:v>0.00237989235892181</c:v>
                </c:pt>
                <c:pt idx="15">
                  <c:v>0.00229215535383695</c:v>
                </c:pt>
                <c:pt idx="16">
                  <c:v>0.00218886257653741</c:v>
                </c:pt>
                <c:pt idx="17">
                  <c:v>0.0020932121521112</c:v>
                </c:pt>
                <c:pt idx="18">
                  <c:v>0.00199225652204573</c:v>
                </c:pt>
                <c:pt idx="19">
                  <c:v>0.0020287966586086</c:v>
                </c:pt>
                <c:pt idx="20">
                  <c:v>0.00192317762151216</c:v>
                </c:pt>
                <c:pt idx="21">
                  <c:v>0.00182353540598655</c:v>
                </c:pt>
                <c:pt idx="22">
                  <c:v>0.00187638055113113</c:v>
                </c:pt>
                <c:pt idx="23">
                  <c:v>0.0017628075569695</c:v>
                </c:pt>
                <c:pt idx="24">
                  <c:v>0.00182006340310448</c:v>
                </c:pt>
                <c:pt idx="25">
                  <c:v>0.00170303983551575</c:v>
                </c:pt>
                <c:pt idx="26">
                  <c:v>0.00176615771423488</c:v>
                </c:pt>
                <c:pt idx="27">
                  <c:v>0.00165041258239167</c:v>
                </c:pt>
                <c:pt idx="28">
                  <c:v>0.00173798591529363</c:v>
                </c:pt>
                <c:pt idx="29">
                  <c:v>0.00184667659693153</c:v>
                </c:pt>
                <c:pt idx="30">
                  <c:v>0.00175435823175826</c:v>
                </c:pt>
                <c:pt idx="31">
                  <c:v>0.0019191586810902</c:v>
                </c:pt>
                <c:pt idx="32">
                  <c:v>0.00214536973782618</c:v>
                </c:pt>
                <c:pt idx="33">
                  <c:v>0.00221270639461758</c:v>
                </c:pt>
                <c:pt idx="34">
                  <c:v>0.00286194805098603</c:v>
                </c:pt>
                <c:pt idx="35">
                  <c:v>0.00483893344577562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420720"/>
        <c:axId val="2053423200"/>
      </c:scatterChart>
      <c:valAx>
        <c:axId val="205342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23200"/>
        <c:crosses val="autoZero"/>
        <c:crossBetween val="midCat"/>
      </c:valAx>
      <c:valAx>
        <c:axId val="20534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2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Main!$AC$12</c:f>
              <c:strCache>
                <c:ptCount val="1"/>
                <c:pt idx="0">
                  <c:v>CDR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Main!$AC$13:$AC$48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0.0228091118220147</c:v>
                </c:pt>
                <c:pt idx="3">
                  <c:v>0.0364240746935965</c:v>
                </c:pt>
                <c:pt idx="4">
                  <c:v>0.0404526545702035</c:v>
                </c:pt>
                <c:pt idx="5">
                  <c:v>0.0408835361942897</c:v>
                </c:pt>
                <c:pt idx="6">
                  <c:v>0.0388642609753575</c:v>
                </c:pt>
                <c:pt idx="7">
                  <c:v>0.0379163212513037</c:v>
                </c:pt>
                <c:pt idx="8">
                  <c:v>0.0357014997868109</c:v>
                </c:pt>
                <c:pt idx="9">
                  <c:v>0.0348751806436746</c:v>
                </c:pt>
                <c:pt idx="10">
                  <c:v>0.0324600910545715</c:v>
                </c:pt>
                <c:pt idx="11">
                  <c:v>0.0314467485971227</c:v>
                </c:pt>
                <c:pt idx="12">
                  <c:v>0.0304413932962997</c:v>
                </c:pt>
                <c:pt idx="13">
                  <c:v>0.0293429585313699</c:v>
                </c:pt>
                <c:pt idx="14">
                  <c:v>0.0281878413811444</c:v>
                </c:pt>
                <c:pt idx="15">
                  <c:v>0.0271617376494584</c:v>
                </c:pt>
                <c:pt idx="16">
                  <c:v>0.025952432878911</c:v>
                </c:pt>
                <c:pt idx="17">
                  <c:v>0.0248313726317131</c:v>
                </c:pt>
                <c:pt idx="18">
                  <c:v>0.0236468504482835</c:v>
                </c:pt>
                <c:pt idx="19">
                  <c:v>0.024075731619203</c:v>
                </c:pt>
                <c:pt idx="20">
                  <c:v>0.0228355811840438</c:v>
                </c:pt>
                <c:pt idx="21">
                  <c:v>0.0216642848724711</c:v>
                </c:pt>
                <c:pt idx="22">
                  <c:v>0.0222856408346912</c:v>
                </c:pt>
                <c:pt idx="23">
                  <c:v>0.0209497966849449</c:v>
                </c:pt>
                <c:pt idx="24">
                  <c:v>0.0216234482124932</c:v>
                </c:pt>
                <c:pt idx="25">
                  <c:v>0.0202461377931605</c:v>
                </c:pt>
                <c:pt idx="26">
                  <c:v>0.0209892251290173</c:v>
                </c:pt>
                <c:pt idx="27">
                  <c:v>0.0196261614631192</c:v>
                </c:pt>
                <c:pt idx="28">
                  <c:v>0.0206576221522842</c:v>
                </c:pt>
                <c:pt idx="29">
                  <c:v>0.0219364247334846</c:v>
                </c:pt>
                <c:pt idx="30">
                  <c:v>0.0208503489936352</c:v>
                </c:pt>
                <c:pt idx="31">
                  <c:v>0.0227883633450696</c:v>
                </c:pt>
                <c:pt idx="32">
                  <c:v>0.0254428264037981</c:v>
                </c:pt>
                <c:pt idx="33">
                  <c:v>0.0262317077027482</c:v>
                </c:pt>
                <c:pt idx="34">
                  <c:v>0.0338079114041055</c:v>
                </c:pt>
                <c:pt idx="35">
                  <c:v>0.0565464508602177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443536"/>
        <c:axId val="2053446016"/>
      </c:scatterChart>
      <c:valAx>
        <c:axId val="205344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46016"/>
        <c:crosses val="autoZero"/>
        <c:crossBetween val="midCat"/>
      </c:valAx>
      <c:valAx>
        <c:axId val="205344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4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Sheet2!$I$3</c:f>
              <c:strCache>
                <c:ptCount val="1"/>
                <c:pt idx="0">
                  <c:v>CDR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Sheet2!$H$4:$H$39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Sheet2!$I$4:$I$39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0.0228</c:v>
                </c:pt>
                <c:pt idx="3">
                  <c:v>0.0364</c:v>
                </c:pt>
                <c:pt idx="4">
                  <c:v>0.0405</c:v>
                </c:pt>
                <c:pt idx="5">
                  <c:v>0.0409</c:v>
                </c:pt>
                <c:pt idx="6">
                  <c:v>0.0389</c:v>
                </c:pt>
                <c:pt idx="7">
                  <c:v>0.0379</c:v>
                </c:pt>
                <c:pt idx="8">
                  <c:v>0.0357</c:v>
                </c:pt>
                <c:pt idx="9">
                  <c:v>0.0349</c:v>
                </c:pt>
                <c:pt idx="10">
                  <c:v>0.0325</c:v>
                </c:pt>
                <c:pt idx="11">
                  <c:v>0.0314</c:v>
                </c:pt>
                <c:pt idx="12">
                  <c:v>0.0304</c:v>
                </c:pt>
                <c:pt idx="13">
                  <c:v>0.0293</c:v>
                </c:pt>
                <c:pt idx="14">
                  <c:v>0.0282</c:v>
                </c:pt>
                <c:pt idx="15">
                  <c:v>0.0272</c:v>
                </c:pt>
                <c:pt idx="16">
                  <c:v>0.026</c:v>
                </c:pt>
                <c:pt idx="17">
                  <c:v>0.0248</c:v>
                </c:pt>
                <c:pt idx="18">
                  <c:v>0.0236</c:v>
                </c:pt>
                <c:pt idx="19">
                  <c:v>0.0241</c:v>
                </c:pt>
                <c:pt idx="20">
                  <c:v>0.0228</c:v>
                </c:pt>
                <c:pt idx="21">
                  <c:v>0.0217</c:v>
                </c:pt>
                <c:pt idx="22">
                  <c:v>0.0223</c:v>
                </c:pt>
                <c:pt idx="23">
                  <c:v>0.0209</c:v>
                </c:pt>
                <c:pt idx="24">
                  <c:v>0.0216</c:v>
                </c:pt>
                <c:pt idx="25">
                  <c:v>0.0202</c:v>
                </c:pt>
                <c:pt idx="26">
                  <c:v>0.021</c:v>
                </c:pt>
                <c:pt idx="27">
                  <c:v>0.0196</c:v>
                </c:pt>
                <c:pt idx="28">
                  <c:v>0.0207</c:v>
                </c:pt>
                <c:pt idx="29">
                  <c:v>0.0219</c:v>
                </c:pt>
                <c:pt idx="30">
                  <c:v>0.0209</c:v>
                </c:pt>
                <c:pt idx="31">
                  <c:v>0.0228</c:v>
                </c:pt>
                <c:pt idx="32">
                  <c:v>0.0254</c:v>
                </c:pt>
                <c:pt idx="33">
                  <c:v>0.0262</c:v>
                </c:pt>
                <c:pt idx="34">
                  <c:v>0.0338</c:v>
                </c:pt>
                <c:pt idx="35">
                  <c:v>0.0565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40192"/>
        <c:axId val="2132237872"/>
      </c:scatterChart>
      <c:valAx>
        <c:axId val="21322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237872"/>
        <c:crosses val="autoZero"/>
        <c:crossBetween val="midCat"/>
      </c:valAx>
      <c:valAx>
        <c:axId val="21322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24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20" Type="http://schemas.openxmlformats.org/officeDocument/2006/relationships/chart" Target="../charts/chart20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2</xdr:col>
          <xdr:colOff>863600</xdr:colOff>
          <xdr:row>8</xdr:row>
          <xdr:rowOff>101600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Calculate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410633</xdr:colOff>
      <xdr:row>79</xdr:row>
      <xdr:rowOff>0</xdr:rowOff>
    </xdr:from>
    <xdr:to>
      <xdr:col>5</xdr:col>
      <xdr:colOff>1045633</xdr:colOff>
      <xdr:row>92</xdr:row>
      <xdr:rowOff>95955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1215672</xdr:colOff>
      <xdr:row>79</xdr:row>
      <xdr:rowOff>26812</xdr:rowOff>
    </xdr:from>
    <xdr:to>
      <xdr:col>10</xdr:col>
      <xdr:colOff>174272</xdr:colOff>
      <xdr:row>92</xdr:row>
      <xdr:rowOff>122767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368300</xdr:colOff>
      <xdr:row>79</xdr:row>
      <xdr:rowOff>12700</xdr:rowOff>
    </xdr:from>
    <xdr:to>
      <xdr:col>15</xdr:col>
      <xdr:colOff>812800</xdr:colOff>
      <xdr:row>92</xdr:row>
      <xdr:rowOff>114300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412750</xdr:colOff>
      <xdr:row>93</xdr:row>
      <xdr:rowOff>50800</xdr:rowOff>
    </xdr:from>
    <xdr:to>
      <xdr:col>5</xdr:col>
      <xdr:colOff>1047750</xdr:colOff>
      <xdr:row>106</xdr:row>
      <xdr:rowOff>152400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1238250</xdr:colOff>
      <xdr:row>93</xdr:row>
      <xdr:rowOff>76200</xdr:rowOff>
    </xdr:from>
    <xdr:to>
      <xdr:col>10</xdr:col>
      <xdr:colOff>196850</xdr:colOff>
      <xdr:row>106</xdr:row>
      <xdr:rowOff>177800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374650</xdr:colOff>
      <xdr:row>93</xdr:row>
      <xdr:rowOff>63500</xdr:rowOff>
    </xdr:from>
    <xdr:to>
      <xdr:col>15</xdr:col>
      <xdr:colOff>819150</xdr:colOff>
      <xdr:row>106</xdr:row>
      <xdr:rowOff>165100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412750</xdr:colOff>
      <xdr:row>107</xdr:row>
      <xdr:rowOff>177800</xdr:rowOff>
    </xdr:from>
    <xdr:to>
      <xdr:col>5</xdr:col>
      <xdr:colOff>1047750</xdr:colOff>
      <xdr:row>121</xdr:row>
      <xdr:rowOff>76200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1200150</xdr:colOff>
      <xdr:row>107</xdr:row>
      <xdr:rowOff>190500</xdr:rowOff>
    </xdr:from>
    <xdr:to>
      <xdr:col>10</xdr:col>
      <xdr:colOff>158750</xdr:colOff>
      <xdr:row>121</xdr:row>
      <xdr:rowOff>88900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374650</xdr:colOff>
      <xdr:row>107</xdr:row>
      <xdr:rowOff>165100</xdr:rowOff>
    </xdr:from>
    <xdr:to>
      <xdr:col>15</xdr:col>
      <xdr:colOff>819150</xdr:colOff>
      <xdr:row>121</xdr:row>
      <xdr:rowOff>63500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463550</xdr:colOff>
      <xdr:row>122</xdr:row>
      <xdr:rowOff>101600</xdr:rowOff>
    </xdr:from>
    <xdr:to>
      <xdr:col>5</xdr:col>
      <xdr:colOff>1098550</xdr:colOff>
      <xdr:row>136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1212850</xdr:colOff>
      <xdr:row>122</xdr:row>
      <xdr:rowOff>101600</xdr:rowOff>
    </xdr:from>
    <xdr:to>
      <xdr:col>10</xdr:col>
      <xdr:colOff>171450</xdr:colOff>
      <xdr:row>136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387350</xdr:colOff>
      <xdr:row>122</xdr:row>
      <xdr:rowOff>63500</xdr:rowOff>
    </xdr:from>
    <xdr:to>
      <xdr:col>16</xdr:col>
      <xdr:colOff>6350</xdr:colOff>
      <xdr:row>135</xdr:row>
      <xdr:rowOff>165100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479879</xdr:colOff>
      <xdr:row>137</xdr:row>
      <xdr:rowOff>43543</xdr:rowOff>
    </xdr:from>
    <xdr:to>
      <xdr:col>5</xdr:col>
      <xdr:colOff>1136651</xdr:colOff>
      <xdr:row>150</xdr:row>
      <xdr:rowOff>145144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1242787</xdr:colOff>
      <xdr:row>137</xdr:row>
      <xdr:rowOff>43545</xdr:rowOff>
    </xdr:from>
    <xdr:to>
      <xdr:col>10</xdr:col>
      <xdr:colOff>172359</xdr:colOff>
      <xdr:row>150</xdr:row>
      <xdr:rowOff>192317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408215</xdr:colOff>
      <xdr:row>137</xdr:row>
      <xdr:rowOff>7256</xdr:rowOff>
    </xdr:from>
    <xdr:to>
      <xdr:col>15</xdr:col>
      <xdr:colOff>807357</xdr:colOff>
      <xdr:row>150</xdr:row>
      <xdr:rowOff>156028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27215</xdr:colOff>
      <xdr:row>151</xdr:row>
      <xdr:rowOff>134256</xdr:rowOff>
    </xdr:from>
    <xdr:to>
      <xdr:col>5</xdr:col>
      <xdr:colOff>1133929</xdr:colOff>
      <xdr:row>165</xdr:row>
      <xdr:rowOff>83456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1279071</xdr:colOff>
      <xdr:row>152</xdr:row>
      <xdr:rowOff>7257</xdr:rowOff>
    </xdr:from>
    <xdr:to>
      <xdr:col>10</xdr:col>
      <xdr:colOff>208643</xdr:colOff>
      <xdr:row>165</xdr:row>
      <xdr:rowOff>156028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426359</xdr:colOff>
      <xdr:row>151</xdr:row>
      <xdr:rowOff>134256</xdr:rowOff>
    </xdr:from>
    <xdr:to>
      <xdr:col>15</xdr:col>
      <xdr:colOff>825501</xdr:colOff>
      <xdr:row>165</xdr:row>
      <xdr:rowOff>83456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27213</xdr:colOff>
      <xdr:row>166</xdr:row>
      <xdr:rowOff>43543</xdr:rowOff>
    </xdr:from>
    <xdr:to>
      <xdr:col>5</xdr:col>
      <xdr:colOff>1133927</xdr:colOff>
      <xdr:row>179</xdr:row>
      <xdr:rowOff>192314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1260928</xdr:colOff>
      <xdr:row>166</xdr:row>
      <xdr:rowOff>61687</xdr:rowOff>
    </xdr:from>
    <xdr:to>
      <xdr:col>10</xdr:col>
      <xdr:colOff>190500</xdr:colOff>
      <xdr:row>180</xdr:row>
      <xdr:rowOff>10887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762000</xdr:colOff>
      <xdr:row>3</xdr:row>
      <xdr:rowOff>139700</xdr:rowOff>
    </xdr:from>
    <xdr:to>
      <xdr:col>18</xdr:col>
      <xdr:colOff>381000</xdr:colOff>
      <xdr:row>17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E177"/>
  <sheetViews>
    <sheetView showGridLines="0" tabSelected="1" topLeftCell="A144" zoomScale="90" zoomScaleNormal="90" workbookViewId="0">
      <selection activeCell="N177" sqref="N177"/>
    </sheetView>
  </sheetViews>
  <sheetFormatPr baseColWidth="10" defaultRowHeight="16" x14ac:dyDescent="0.2"/>
  <cols>
    <col min="1" max="1" width="6.5" customWidth="1"/>
    <col min="3" max="3" width="12.6640625" bestFit="1" customWidth="1"/>
    <col min="6" max="6" width="20" bestFit="1" customWidth="1"/>
    <col min="9" max="9" width="21.1640625" bestFit="1" customWidth="1"/>
    <col min="14" max="14" width="16.83203125" bestFit="1" customWidth="1"/>
    <col min="17" max="17" width="14" customWidth="1"/>
  </cols>
  <sheetData>
    <row r="1" spans="1:3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7"/>
      <c r="O1" s="7"/>
      <c r="P1" s="7"/>
      <c r="Q1" s="6"/>
      <c r="R1" s="39"/>
      <c r="S1" s="39"/>
      <c r="T1" s="39"/>
      <c r="U1" s="6"/>
      <c r="V1" s="6"/>
      <c r="W1" s="6"/>
      <c r="X1" s="6"/>
      <c r="Y1" s="6"/>
      <c r="Z1" s="6"/>
      <c r="AA1" s="6"/>
      <c r="AB1" s="6"/>
      <c r="AC1" s="6"/>
    </row>
    <row r="2" spans="1:31" ht="17" thickBot="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O2" s="7"/>
      <c r="P2" s="7"/>
      <c r="Q2" s="6"/>
      <c r="R2" s="39"/>
      <c r="S2" s="39"/>
      <c r="T2" s="39"/>
      <c r="U2" s="6"/>
      <c r="V2" s="6"/>
      <c r="W2" s="6"/>
      <c r="X2" s="6"/>
      <c r="Y2" s="6"/>
      <c r="Z2" s="6"/>
      <c r="AA2" s="6"/>
      <c r="AB2" s="6"/>
      <c r="AC2" s="6"/>
    </row>
    <row r="3" spans="1:31" ht="17" thickBot="1" x14ac:dyDescent="0.25">
      <c r="A3" s="41">
        <v>36</v>
      </c>
      <c r="B3" s="6"/>
      <c r="C3" s="44" t="s">
        <v>15</v>
      </c>
      <c r="D3" s="45">
        <v>36</v>
      </c>
      <c r="E3" s="6"/>
      <c r="F3" s="17" t="s">
        <v>20</v>
      </c>
      <c r="G3" s="22">
        <v>2.8</v>
      </c>
      <c r="H3" s="32" t="s">
        <v>104</v>
      </c>
      <c r="I3" s="6"/>
      <c r="J3" s="6"/>
      <c r="K3" s="6"/>
      <c r="L3" s="55" t="s">
        <v>93</v>
      </c>
      <c r="M3" s="56"/>
      <c r="N3" s="56"/>
      <c r="O3" s="56"/>
      <c r="P3" s="56"/>
      <c r="Q3" s="56"/>
      <c r="R3" s="29" t="s">
        <v>55</v>
      </c>
      <c r="S3" s="29" t="s">
        <v>56</v>
      </c>
      <c r="T3" s="15" t="s">
        <v>57</v>
      </c>
      <c r="U3" s="6"/>
      <c r="V3" s="30" t="s">
        <v>101</v>
      </c>
      <c r="W3" s="31"/>
      <c r="X3" s="29" t="str">
        <f>R3</f>
        <v>IRR</v>
      </c>
      <c r="Y3" s="29" t="str">
        <f>S3</f>
        <v>Yield</v>
      </c>
      <c r="Z3" s="15" t="str">
        <f>T3</f>
        <v>NAR</v>
      </c>
      <c r="AA3" s="6"/>
      <c r="AB3" s="6"/>
      <c r="AC3" s="6"/>
    </row>
    <row r="4" spans="1:31" x14ac:dyDescent="0.2">
      <c r="A4" s="41">
        <v>60</v>
      </c>
      <c r="B4" s="6"/>
      <c r="C4" s="42" t="s">
        <v>16</v>
      </c>
      <c r="D4" s="43" t="s">
        <v>50</v>
      </c>
      <c r="E4" s="6"/>
      <c r="F4" s="18" t="s">
        <v>100</v>
      </c>
      <c r="G4" s="23">
        <v>2E-3</v>
      </c>
      <c r="H4" s="6"/>
      <c r="I4" s="17" t="s">
        <v>58</v>
      </c>
      <c r="J4" s="22">
        <v>3.9045533935461424E-2</v>
      </c>
      <c r="K4" s="6"/>
      <c r="L4" s="61" t="s">
        <v>94</v>
      </c>
      <c r="M4" s="62"/>
      <c r="N4" s="62"/>
      <c r="O4" s="62"/>
      <c r="P4" s="62"/>
      <c r="Q4" s="62"/>
      <c r="R4" s="33">
        <v>4.6348489463310827E-2</v>
      </c>
      <c r="S4" s="33">
        <v>4.6345978141749948E-2</v>
      </c>
      <c r="T4" s="34">
        <v>4.7343239943173021E-2</v>
      </c>
      <c r="U4" s="6"/>
      <c r="V4" s="53" t="s">
        <v>61</v>
      </c>
      <c r="W4" s="54"/>
      <c r="X4" s="27">
        <f>R4-R5</f>
        <v>2.1777476770434845E-4</v>
      </c>
      <c r="Y4" s="27">
        <f t="shared" ref="Y4:Z8" si="0">S4-S5</f>
        <v>2.2172242020327554E-4</v>
      </c>
      <c r="Z4" s="28">
        <f t="shared" si="0"/>
        <v>2.3130264245474486E-4</v>
      </c>
      <c r="AA4" s="6"/>
      <c r="AB4" s="6"/>
      <c r="AC4" s="6"/>
    </row>
    <row r="5" spans="1:31" x14ac:dyDescent="0.2">
      <c r="A5" s="6"/>
      <c r="B5" s="6"/>
      <c r="C5" s="18" t="s">
        <v>17</v>
      </c>
      <c r="D5" s="19">
        <v>7.17E-2</v>
      </c>
      <c r="E5" s="6"/>
      <c r="F5" s="18" t="s">
        <v>21</v>
      </c>
      <c r="G5" s="23">
        <v>0.01</v>
      </c>
      <c r="H5" s="6"/>
      <c r="I5" s="18" t="s">
        <v>59</v>
      </c>
      <c r="J5" s="23">
        <v>3.5336208211592592E-2</v>
      </c>
      <c r="K5" s="6"/>
      <c r="L5" s="59" t="s">
        <v>95</v>
      </c>
      <c r="M5" s="60"/>
      <c r="N5" s="60"/>
      <c r="O5" s="60"/>
      <c r="P5" s="60"/>
      <c r="Q5" s="60"/>
      <c r="R5" s="35">
        <v>4.6130714695606478E-2</v>
      </c>
      <c r="S5" s="35">
        <v>4.6124255721546673E-2</v>
      </c>
      <c r="T5" s="36">
        <v>4.7111937300718276E-2</v>
      </c>
      <c r="U5" s="6"/>
      <c r="V5" s="51" t="s">
        <v>62</v>
      </c>
      <c r="W5" s="52"/>
      <c r="X5" s="25">
        <f t="shared" ref="X5:X8" si="1">R5-R6</f>
        <v>4.6419934176267219E-4</v>
      </c>
      <c r="Y5" s="25">
        <f t="shared" si="0"/>
        <v>4.6424221246642999E-4</v>
      </c>
      <c r="Z5" s="23">
        <f t="shared" si="0"/>
        <v>4.8414961757425878E-4</v>
      </c>
      <c r="AA5" s="6"/>
      <c r="AB5" s="6"/>
      <c r="AC5" s="6"/>
    </row>
    <row r="6" spans="1:31" ht="17" thickBot="1" x14ac:dyDescent="0.25">
      <c r="A6" s="6"/>
      <c r="B6" s="6"/>
      <c r="C6" s="47" t="s">
        <v>18</v>
      </c>
      <c r="D6" s="48">
        <v>9.5000000000000001E-2</v>
      </c>
      <c r="E6" s="6"/>
      <c r="F6" s="18" t="s">
        <v>22</v>
      </c>
      <c r="G6" s="23">
        <v>0</v>
      </c>
      <c r="H6" s="6"/>
      <c r="I6" s="18" t="s">
        <v>60</v>
      </c>
      <c r="J6" s="23">
        <v>2.4569543993106222E-2</v>
      </c>
      <c r="K6" s="6"/>
      <c r="L6" s="59" t="s">
        <v>96</v>
      </c>
      <c r="M6" s="60"/>
      <c r="N6" s="60"/>
      <c r="O6" s="60"/>
      <c r="P6" s="60"/>
      <c r="Q6" s="60"/>
      <c r="R6" s="35">
        <v>4.5666515353843806E-2</v>
      </c>
      <c r="S6" s="35">
        <v>4.5660013509080243E-2</v>
      </c>
      <c r="T6" s="36">
        <v>4.6627787683144017E-2</v>
      </c>
      <c r="U6" s="6"/>
      <c r="V6" s="51" t="s">
        <v>63</v>
      </c>
      <c r="W6" s="52"/>
      <c r="X6" s="25">
        <f t="shared" si="1"/>
        <v>4.0110513827418259E-4</v>
      </c>
      <c r="Y6" s="25">
        <f t="shared" si="0"/>
        <v>3.8468768619460275E-4</v>
      </c>
      <c r="Z6" s="23">
        <f t="shared" si="0"/>
        <v>4.0102819695375658E-4</v>
      </c>
      <c r="AA6" s="6"/>
      <c r="AB6" s="6"/>
      <c r="AC6" s="6"/>
    </row>
    <row r="7" spans="1:31" x14ac:dyDescent="0.2">
      <c r="A7" s="6"/>
      <c r="B7" s="6"/>
      <c r="C7" s="6"/>
      <c r="D7" s="6"/>
      <c r="E7" s="6"/>
      <c r="F7" s="18" t="s">
        <v>23</v>
      </c>
      <c r="G7" s="23">
        <v>2.9999999999999997E-4</v>
      </c>
      <c r="H7" s="6"/>
      <c r="I7" s="16"/>
      <c r="J7" s="21"/>
      <c r="K7" s="6"/>
      <c r="L7" s="59" t="s">
        <v>97</v>
      </c>
      <c r="M7" s="60"/>
      <c r="N7" s="60"/>
      <c r="O7" s="60"/>
      <c r="P7" s="60"/>
      <c r="Q7" s="60"/>
      <c r="R7" s="35">
        <v>4.5265410215569624E-2</v>
      </c>
      <c r="S7" s="35">
        <v>4.527532582288564E-2</v>
      </c>
      <c r="T7" s="36">
        <v>4.6226759486190261E-2</v>
      </c>
      <c r="U7" s="6"/>
      <c r="V7" s="51" t="s">
        <v>64</v>
      </c>
      <c r="W7" s="52"/>
      <c r="X7" s="25">
        <f t="shared" si="1"/>
        <v>6.8103428470607241E-3</v>
      </c>
      <c r="Y7" s="25">
        <f t="shared" si="0"/>
        <v>6.9310165523993814E-3</v>
      </c>
      <c r="Z7" s="23">
        <f t="shared" si="0"/>
        <v>7.2013395985575102E-3</v>
      </c>
      <c r="AA7" s="6"/>
      <c r="AB7" s="6"/>
      <c r="AC7" s="6"/>
    </row>
    <row r="8" spans="1:31" ht="17" thickBot="1" x14ac:dyDescent="0.25">
      <c r="A8" s="6"/>
      <c r="B8" s="6"/>
      <c r="C8" s="6"/>
      <c r="D8" s="6"/>
      <c r="E8" s="6"/>
      <c r="F8" s="20" t="s">
        <v>24</v>
      </c>
      <c r="G8" s="24">
        <v>0.18</v>
      </c>
      <c r="H8" s="6"/>
      <c r="I8" s="20" t="s">
        <v>102</v>
      </c>
      <c r="J8" s="24">
        <v>1.3809961215160318</v>
      </c>
      <c r="K8" s="6"/>
      <c r="L8" s="59" t="s">
        <v>99</v>
      </c>
      <c r="M8" s="60"/>
      <c r="N8" s="60"/>
      <c r="O8" s="60"/>
      <c r="P8" s="60"/>
      <c r="Q8" s="60"/>
      <c r="R8" s="35">
        <v>3.84550673685089E-2</v>
      </c>
      <c r="S8" s="35">
        <v>3.8344309270486258E-2</v>
      </c>
      <c r="T8" s="36">
        <v>3.9025419887632751E-2</v>
      </c>
      <c r="U8" s="6"/>
      <c r="V8" s="49" t="s">
        <v>65</v>
      </c>
      <c r="W8" s="50"/>
      <c r="X8" s="26">
        <f t="shared" si="1"/>
        <v>1.4601954835802289E-3</v>
      </c>
      <c r="Y8" s="26">
        <f t="shared" si="0"/>
        <v>1.4773798617674777E-3</v>
      </c>
      <c r="Z8" s="24">
        <f t="shared" si="0"/>
        <v>1.5291134768671277E-3</v>
      </c>
      <c r="AA8" s="6"/>
      <c r="AB8" s="6"/>
      <c r="AC8" s="6"/>
    </row>
    <row r="9" spans="1:31" ht="17" thickBo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57" t="s">
        <v>98</v>
      </c>
      <c r="M9" s="58"/>
      <c r="N9" s="58"/>
      <c r="O9" s="58"/>
      <c r="P9" s="58"/>
      <c r="Q9" s="58"/>
      <c r="R9" s="37">
        <v>3.6994871884928671E-2</v>
      </c>
      <c r="S9" s="37">
        <v>3.6866929408718781E-2</v>
      </c>
      <c r="T9" s="38">
        <v>3.7496306410765623E-2</v>
      </c>
      <c r="U9" s="6" t="s">
        <v>107</v>
      </c>
      <c r="V9" s="6"/>
      <c r="W9" s="6"/>
      <c r="X9" s="6"/>
      <c r="Y9" s="6"/>
      <c r="Z9" s="6"/>
      <c r="AA9" s="6"/>
      <c r="AB9" s="6"/>
      <c r="AC9" s="6"/>
    </row>
    <row r="10" spans="1:31" x14ac:dyDescent="0.2">
      <c r="A10" s="6"/>
      <c r="B10" s="6"/>
      <c r="C10" s="6"/>
      <c r="D10" s="6"/>
      <c r="E10" s="6"/>
      <c r="F10" s="6"/>
      <c r="G10" s="6"/>
      <c r="H10" s="6"/>
      <c r="I10" s="6" t="s">
        <v>106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31" ht="17" thickBo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</row>
    <row r="12" spans="1:31" ht="17" thickBot="1" x14ac:dyDescent="0.25">
      <c r="A12" s="6"/>
      <c r="B12" s="14" t="s">
        <v>7</v>
      </c>
      <c r="C12" s="14" t="s">
        <v>9</v>
      </c>
      <c r="D12" s="14" t="s">
        <v>8</v>
      </c>
      <c r="E12" s="14" t="s">
        <v>25</v>
      </c>
      <c r="F12" s="14" t="s">
        <v>26</v>
      </c>
      <c r="G12" s="14" t="s">
        <v>27</v>
      </c>
      <c r="H12" s="14" t="s">
        <v>28</v>
      </c>
      <c r="I12" s="14" t="s">
        <v>29</v>
      </c>
      <c r="J12" s="14" t="s">
        <v>30</v>
      </c>
      <c r="K12" s="14" t="s">
        <v>31</v>
      </c>
      <c r="L12" s="14" t="s">
        <v>32</v>
      </c>
      <c r="M12" s="14" t="s">
        <v>33</v>
      </c>
      <c r="N12" s="14" t="s">
        <v>34</v>
      </c>
      <c r="O12" s="14" t="s">
        <v>35</v>
      </c>
      <c r="P12" s="14" t="s">
        <v>36</v>
      </c>
      <c r="Q12" s="14" t="s">
        <v>37</v>
      </c>
      <c r="R12" s="14" t="s">
        <v>38</v>
      </c>
      <c r="S12" s="14" t="s">
        <v>39</v>
      </c>
      <c r="T12" s="14" t="s">
        <v>40</v>
      </c>
      <c r="U12" s="14" t="s">
        <v>41</v>
      </c>
      <c r="V12" s="14" t="s">
        <v>42</v>
      </c>
      <c r="W12" s="14" t="s">
        <v>43</v>
      </c>
      <c r="X12" s="14" t="s">
        <v>44</v>
      </c>
      <c r="Y12" s="14" t="s">
        <v>45</v>
      </c>
      <c r="Z12" s="14" t="s">
        <v>46</v>
      </c>
      <c r="AA12" s="14" t="s">
        <v>47</v>
      </c>
      <c r="AB12" s="14" t="s">
        <v>48</v>
      </c>
      <c r="AC12" s="14" t="s">
        <v>49</v>
      </c>
      <c r="AE12" s="6" t="s">
        <v>66</v>
      </c>
    </row>
    <row r="13" spans="1:31" x14ac:dyDescent="0.2">
      <c r="A13" s="6"/>
      <c r="B13" s="8">
        <v>1</v>
      </c>
      <c r="C13" s="9">
        <v>5.0000000000000001E-3</v>
      </c>
      <c r="D13" s="9">
        <v>0</v>
      </c>
      <c r="E13" s="9">
        <v>100</v>
      </c>
      <c r="F13" s="9">
        <v>3.0954882906284031</v>
      </c>
      <c r="G13" s="9">
        <v>0.59750000000000003</v>
      </c>
      <c r="H13" s="9">
        <v>2.497988290628403</v>
      </c>
      <c r="I13" s="9">
        <v>10000</v>
      </c>
      <c r="J13" s="9">
        <v>100</v>
      </c>
      <c r="K13" s="9">
        <v>53.761616000000004</v>
      </c>
      <c r="L13" s="9">
        <v>247.9003579619627</v>
      </c>
      <c r="M13" s="9">
        <v>48.751005854685801</v>
      </c>
      <c r="N13" s="9">
        <v>0</v>
      </c>
      <c r="O13" s="9">
        <v>0</v>
      </c>
      <c r="P13" s="9">
        <v>0.70082595963329697</v>
      </c>
      <c r="Q13" s="9">
        <v>0.10512389394499454</v>
      </c>
      <c r="R13" s="9">
        <v>0</v>
      </c>
      <c r="S13" s="9">
        <v>3.0166197396196273</v>
      </c>
      <c r="T13" s="9">
        <v>346.59041022345059</v>
      </c>
      <c r="U13" s="9">
        <v>9703.3486361833529</v>
      </c>
      <c r="V13" s="9">
        <v>0.5</v>
      </c>
      <c r="W13" s="9">
        <v>4.8751005854685801E-3</v>
      </c>
      <c r="X13" s="9">
        <v>5.0000000000000001E-3</v>
      </c>
      <c r="Y13" s="9">
        <v>5.8377193085624279E-2</v>
      </c>
      <c r="Z13" s="9">
        <v>0</v>
      </c>
      <c r="AA13" s="9">
        <v>0</v>
      </c>
      <c r="AB13" s="9">
        <v>0</v>
      </c>
      <c r="AC13" s="10">
        <v>0</v>
      </c>
      <c r="AE13" s="6" t="s">
        <v>67</v>
      </c>
    </row>
    <row r="14" spans="1:31" x14ac:dyDescent="0.2">
      <c r="A14" s="6"/>
      <c r="B14" s="8">
        <v>2</v>
      </c>
      <c r="C14" s="9">
        <v>8.9999999999999993E-3</v>
      </c>
      <c r="D14" s="9">
        <v>0</v>
      </c>
      <c r="E14" s="9">
        <v>97.502011709371573</v>
      </c>
      <c r="F14" s="9">
        <v>3.0954882906284031</v>
      </c>
      <c r="G14" s="9">
        <v>0.58257451996349519</v>
      </c>
      <c r="H14" s="9">
        <v>2.5129137706649081</v>
      </c>
      <c r="I14" s="9">
        <v>9703.3486361833529</v>
      </c>
      <c r="J14" s="9">
        <v>99.5</v>
      </c>
      <c r="K14" s="9">
        <v>57.348635745206465</v>
      </c>
      <c r="L14" s="9">
        <v>247.37123158425354</v>
      </c>
      <c r="M14" s="9">
        <v>85.490188144835983</v>
      </c>
      <c r="N14" s="9">
        <v>0</v>
      </c>
      <c r="O14" s="9">
        <v>0</v>
      </c>
      <c r="P14" s="9">
        <v>0.78042011094859198</v>
      </c>
      <c r="Q14" s="9">
        <v>0.11706301664228878</v>
      </c>
      <c r="R14" s="9">
        <v>0</v>
      </c>
      <c r="S14" s="9">
        <v>3.0471986732945999</v>
      </c>
      <c r="T14" s="9">
        <v>386.26537367341052</v>
      </c>
      <c r="U14" s="9">
        <v>9370.487216454263</v>
      </c>
      <c r="V14" s="9">
        <v>0.89999999999999991</v>
      </c>
      <c r="W14" s="9">
        <v>8.5490188144835989E-3</v>
      </c>
      <c r="X14" s="9">
        <v>9.0434096141463697E-3</v>
      </c>
      <c r="Y14" s="9">
        <v>0.10328266886333715</v>
      </c>
      <c r="Z14" s="9">
        <v>0</v>
      </c>
      <c r="AA14" s="9">
        <v>0</v>
      </c>
      <c r="AB14" s="9">
        <v>0</v>
      </c>
      <c r="AC14" s="10">
        <v>0</v>
      </c>
      <c r="AE14" s="6" t="s">
        <v>68</v>
      </c>
    </row>
    <row r="15" spans="1:31" x14ac:dyDescent="0.2">
      <c r="A15" s="6"/>
      <c r="B15" s="8">
        <v>3</v>
      </c>
      <c r="C15" s="9">
        <v>4.0000000000000001E-3</v>
      </c>
      <c r="D15" s="9">
        <v>1.8E-3</v>
      </c>
      <c r="E15" s="9">
        <v>94.989097938706621</v>
      </c>
      <c r="F15" s="9">
        <v>3.0954882906284031</v>
      </c>
      <c r="G15" s="9">
        <v>0.56755986018377214</v>
      </c>
      <c r="H15" s="9">
        <v>2.5279284304446312</v>
      </c>
      <c r="I15" s="9">
        <v>9370.487216454263</v>
      </c>
      <c r="J15" s="9">
        <v>98.6</v>
      </c>
      <c r="K15" s="9">
        <v>55.20087200147367</v>
      </c>
      <c r="L15" s="9">
        <v>245.8663191450448</v>
      </c>
      <c r="M15" s="9">
        <v>36.984467803304796</v>
      </c>
      <c r="N15" s="9">
        <v>18</v>
      </c>
      <c r="O15" s="9">
        <v>1.71</v>
      </c>
      <c r="P15" s="9">
        <v>0.67610331789964651</v>
      </c>
      <c r="Q15" s="9">
        <v>0.10141549768494697</v>
      </c>
      <c r="R15" s="9">
        <v>0.30779999999999996</v>
      </c>
      <c r="S15" s="9">
        <v>3.0106719114651845</v>
      </c>
      <c r="T15" s="9">
        <v>335.66566822277343</v>
      </c>
      <c r="U15" s="9">
        <v>9069.6364295059138</v>
      </c>
      <c r="V15" s="9">
        <v>0.4</v>
      </c>
      <c r="W15" s="9">
        <v>3.6984467803304797E-3</v>
      </c>
      <c r="X15" s="9">
        <v>4.0547660480265259E-3</v>
      </c>
      <c r="Y15" s="9">
        <v>4.758661149183907E-2</v>
      </c>
      <c r="Z15" s="9">
        <v>0.18</v>
      </c>
      <c r="AA15" s="9">
        <v>1.8E-3</v>
      </c>
      <c r="AB15" s="9">
        <v>1.9209246631693387E-3</v>
      </c>
      <c r="AC15" s="10">
        <v>2.2809111822014727E-2</v>
      </c>
      <c r="AE15" s="6" t="s">
        <v>69</v>
      </c>
    </row>
    <row r="16" spans="1:31" x14ac:dyDescent="0.2">
      <c r="A16" s="6"/>
      <c r="B16" s="8">
        <v>4</v>
      </c>
      <c r="C16" s="9">
        <v>7.0000000000000001E-3</v>
      </c>
      <c r="D16" s="9">
        <v>2.8E-3</v>
      </c>
      <c r="E16" s="9">
        <v>92.461169508262003</v>
      </c>
      <c r="F16" s="9">
        <v>3.0954882906284031</v>
      </c>
      <c r="G16" s="9">
        <v>0.55245548781186549</v>
      </c>
      <c r="H16" s="9">
        <v>2.5430328028165379</v>
      </c>
      <c r="I16" s="9">
        <v>9069.6364295059138</v>
      </c>
      <c r="J16" s="9">
        <v>98.019999999999982</v>
      </c>
      <c r="K16" s="9">
        <v>53.361675567748073</v>
      </c>
      <c r="L16" s="9">
        <v>245.63153842404932</v>
      </c>
      <c r="M16" s="9">
        <v>62.942695693811828</v>
      </c>
      <c r="N16" s="9">
        <v>27.999999999999996</v>
      </c>
      <c r="O16" s="9">
        <v>2.6599999999999997</v>
      </c>
      <c r="P16" s="9">
        <v>0.72387181937121847</v>
      </c>
      <c r="Q16" s="9">
        <v>0.10858077290568276</v>
      </c>
      <c r="R16" s="9">
        <v>0.47879999999999995</v>
      </c>
      <c r="S16" s="9">
        <v>2.9899321399179741</v>
      </c>
      <c r="T16" s="9">
        <v>360.2947249534144</v>
      </c>
      <c r="U16" s="9">
        <v>8733.0621953880527</v>
      </c>
      <c r="V16" s="9">
        <v>0.70000000000000007</v>
      </c>
      <c r="W16" s="9">
        <v>6.2942695693811827E-3</v>
      </c>
      <c r="X16" s="9">
        <v>7.136062028977176E-3</v>
      </c>
      <c r="Y16" s="9">
        <v>8.2350478418207307E-2</v>
      </c>
      <c r="Z16" s="9">
        <v>0.27999999999999997</v>
      </c>
      <c r="AA16" s="9">
        <v>2.7999999999999995E-3</v>
      </c>
      <c r="AB16" s="9">
        <v>3.0872240819828927E-3</v>
      </c>
      <c r="AC16" s="10">
        <v>3.6424074693596542E-2</v>
      </c>
      <c r="AE16" s="6" t="s">
        <v>70</v>
      </c>
    </row>
    <row r="17" spans="1:31" x14ac:dyDescent="0.2">
      <c r="A17" s="6"/>
      <c r="B17" s="8">
        <v>5</v>
      </c>
      <c r="C17" s="9">
        <v>4.0000000000000001E-3</v>
      </c>
      <c r="D17" s="9">
        <v>3.0000000000000001E-3</v>
      </c>
      <c r="E17" s="9">
        <v>89.918136705445377</v>
      </c>
      <c r="F17" s="9">
        <v>3.0954882906284031</v>
      </c>
      <c r="G17" s="9">
        <v>0.53726086681503615</v>
      </c>
      <c r="H17" s="9">
        <v>2.5582274238133671</v>
      </c>
      <c r="I17" s="9">
        <v>8733.0621953880527</v>
      </c>
      <c r="J17" s="9">
        <v>97.039999999999978</v>
      </c>
      <c r="K17" s="9">
        <v>51.383629302190045</v>
      </c>
      <c r="L17" s="9">
        <v>244.66887081351035</v>
      </c>
      <c r="M17" s="9">
        <v>34.94396371265281</v>
      </c>
      <c r="N17" s="9">
        <v>30</v>
      </c>
      <c r="O17" s="9">
        <v>2.85</v>
      </c>
      <c r="P17" s="9">
        <v>0.66199292765670648</v>
      </c>
      <c r="Q17" s="9">
        <v>9.929893914850596E-2</v>
      </c>
      <c r="R17" s="9">
        <v>0.51300000000000001</v>
      </c>
      <c r="S17" s="9">
        <v>2.9605250011570043</v>
      </c>
      <c r="T17" s="9">
        <v>329.61164696039106</v>
      </c>
      <c r="U17" s="9">
        <v>8423.4493608618905</v>
      </c>
      <c r="V17" s="9">
        <v>0.4</v>
      </c>
      <c r="W17" s="9">
        <v>3.494396371265281E-3</v>
      </c>
      <c r="X17" s="9">
        <v>4.1184135265317327E-3</v>
      </c>
      <c r="Y17" s="9">
        <v>4.8316740898527777E-2</v>
      </c>
      <c r="Z17" s="9">
        <v>0.3</v>
      </c>
      <c r="AA17" s="9">
        <v>3.0000000000000001E-3</v>
      </c>
      <c r="AB17" s="9">
        <v>3.4352211548250577E-3</v>
      </c>
      <c r="AC17" s="10">
        <v>4.0452654570203528E-2</v>
      </c>
      <c r="AE17" s="6" t="s">
        <v>71</v>
      </c>
    </row>
    <row r="18" spans="1:31" x14ac:dyDescent="0.2">
      <c r="A18" s="6"/>
      <c r="B18" s="8">
        <v>6</v>
      </c>
      <c r="C18" s="9">
        <v>0.01</v>
      </c>
      <c r="D18" s="9">
        <v>3.0000000000000001E-3</v>
      </c>
      <c r="E18" s="9">
        <v>87.359909281632042</v>
      </c>
      <c r="F18" s="9">
        <v>3.0954882906284031</v>
      </c>
      <c r="G18" s="9">
        <v>0.52197545795775147</v>
      </c>
      <c r="H18" s="9">
        <v>2.5735128326706516</v>
      </c>
      <c r="I18" s="9">
        <v>8423.4493608618905</v>
      </c>
      <c r="J18" s="9">
        <v>96.339999999999975</v>
      </c>
      <c r="K18" s="9">
        <v>49.587668505986372</v>
      </c>
      <c r="L18" s="9">
        <v>244.48371910371182</v>
      </c>
      <c r="M18" s="9">
        <v>84.786396448961398</v>
      </c>
      <c r="N18" s="9">
        <v>29.25060351281147</v>
      </c>
      <c r="O18" s="9">
        <v>2.7788073337170895</v>
      </c>
      <c r="P18" s="9">
        <v>0.75771556811731922</v>
      </c>
      <c r="Q18" s="9">
        <v>0.11365733521759787</v>
      </c>
      <c r="R18" s="9">
        <v>0.50018532006907612</v>
      </c>
      <c r="S18" s="9">
        <v>2.9407138760969822</v>
      </c>
      <c r="T18" s="9">
        <v>377.32431929287571</v>
      </c>
      <c r="U18" s="9">
        <v>8064.9286417964049</v>
      </c>
      <c r="V18" s="9">
        <v>1</v>
      </c>
      <c r="W18" s="9">
        <v>8.4786396448961396E-3</v>
      </c>
      <c r="X18" s="9">
        <v>1.0370768607471048E-2</v>
      </c>
      <c r="Y18" s="9">
        <v>0.11759049289323642</v>
      </c>
      <c r="Z18" s="9">
        <v>0.3</v>
      </c>
      <c r="AA18" s="9">
        <v>2.9250603512811471E-3</v>
      </c>
      <c r="AB18" s="9">
        <v>3.4725208474237846E-3</v>
      </c>
      <c r="AC18" s="10">
        <v>4.0883536194289749E-2</v>
      </c>
      <c r="AE18" s="6" t="s">
        <v>72</v>
      </c>
    </row>
    <row r="19" spans="1:31" x14ac:dyDescent="0.2">
      <c r="A19" s="6"/>
      <c r="B19" s="8">
        <v>7</v>
      </c>
      <c r="C19" s="9">
        <v>4.0000000000000001E-3</v>
      </c>
      <c r="D19" s="9">
        <v>2.8E-3</v>
      </c>
      <c r="E19" s="9">
        <v>84.786396448961341</v>
      </c>
      <c r="F19" s="9">
        <v>3.0954882906284031</v>
      </c>
      <c r="G19" s="9">
        <v>0.50659871878254403</v>
      </c>
      <c r="H19" s="9">
        <v>2.5888895718458591</v>
      </c>
      <c r="I19" s="9">
        <v>8064.9286417964049</v>
      </c>
      <c r="J19" s="9">
        <v>95.039999999999978</v>
      </c>
      <c r="K19" s="9">
        <v>47.508827847426964</v>
      </c>
      <c r="L19" s="9">
        <v>242.7860640477046</v>
      </c>
      <c r="M19" s="9">
        <v>32.879002750846198</v>
      </c>
      <c r="N19" s="9">
        <v>26.59694742283785</v>
      </c>
      <c r="O19" s="9">
        <v>2.5267100051695959</v>
      </c>
      <c r="P19" s="9">
        <v>0.64634778929195558</v>
      </c>
      <c r="Q19" s="9">
        <v>9.6952168393793323E-2</v>
      </c>
      <c r="R19" s="9">
        <v>0.45480780093052725</v>
      </c>
      <c r="S19" s="9">
        <v>2.9029489189513158</v>
      </c>
      <c r="T19" s="9">
        <v>321.59954797357977</v>
      </c>
      <c r="U19" s="9">
        <v>7762.6666275750167</v>
      </c>
      <c r="V19" s="9">
        <v>0.4</v>
      </c>
      <c r="W19" s="9">
        <v>3.2879002750846199E-3</v>
      </c>
      <c r="X19" s="9">
        <v>4.2050780066948748E-3</v>
      </c>
      <c r="Y19" s="9">
        <v>4.9310083944272387E-2</v>
      </c>
      <c r="Z19" s="9">
        <v>0.27999999999999997</v>
      </c>
      <c r="AA19" s="9">
        <v>2.659694742283785E-3</v>
      </c>
      <c r="AB19" s="9">
        <v>3.2978527900419923E-3</v>
      </c>
      <c r="AC19" s="10">
        <v>3.8864260975357556E-2</v>
      </c>
      <c r="AE19" s="6" t="s">
        <v>73</v>
      </c>
    </row>
    <row r="20" spans="1:31" x14ac:dyDescent="0.2">
      <c r="A20" s="6"/>
      <c r="B20" s="8">
        <v>8</v>
      </c>
      <c r="C20" s="9">
        <v>8.0000000000000002E-3</v>
      </c>
      <c r="D20" s="9">
        <v>2.7000000000000001E-3</v>
      </c>
      <c r="E20" s="9">
        <v>82.197506877115458</v>
      </c>
      <c r="F20" s="9">
        <v>3.0954882906284031</v>
      </c>
      <c r="G20" s="9">
        <v>0.49113010359076487</v>
      </c>
      <c r="H20" s="9">
        <v>2.6043581870376382</v>
      </c>
      <c r="I20" s="9">
        <v>7762.6666275750167</v>
      </c>
      <c r="J20" s="9">
        <v>94.359999999999971</v>
      </c>
      <c r="K20" s="9">
        <v>45.758591751551549</v>
      </c>
      <c r="L20" s="9">
        <v>242.64805228629669</v>
      </c>
      <c r="M20" s="9">
        <v>63.674518952062265</v>
      </c>
      <c r="N20" s="9">
        <v>24.964515767230743</v>
      </c>
      <c r="O20" s="9">
        <v>2.3716289978869205</v>
      </c>
      <c r="P20" s="9">
        <v>0.70416232597982109</v>
      </c>
      <c r="Q20" s="9">
        <v>0.10562434889697314</v>
      </c>
      <c r="R20" s="9">
        <v>0.42689321961964566</v>
      </c>
      <c r="S20" s="9">
        <v>2.8840664403784824</v>
      </c>
      <c r="T20" s="9">
        <v>350.33204565292249</v>
      </c>
      <c r="U20" s="9">
        <v>7431.3795405694273</v>
      </c>
      <c r="V20" s="9">
        <v>0.8</v>
      </c>
      <c r="W20" s="9">
        <v>6.3674518952062265E-3</v>
      </c>
      <c r="X20" s="9">
        <v>8.4708263660310708E-3</v>
      </c>
      <c r="Y20" s="9">
        <v>9.7045299726161605E-2</v>
      </c>
      <c r="Z20" s="9">
        <v>0.27</v>
      </c>
      <c r="AA20" s="9">
        <v>2.4964515767230745E-3</v>
      </c>
      <c r="AB20" s="9">
        <v>3.2159716454330618E-3</v>
      </c>
      <c r="AC20" s="10">
        <v>3.7916321251303731E-2</v>
      </c>
      <c r="AE20" s="6" t="s">
        <v>74</v>
      </c>
    </row>
    <row r="21" spans="1:31" x14ac:dyDescent="0.2">
      <c r="A21" s="6"/>
      <c r="B21" s="8">
        <v>9</v>
      </c>
      <c r="C21" s="9">
        <v>8.9999999999999993E-3</v>
      </c>
      <c r="D21" s="9">
        <v>2.5000000000000001E-3</v>
      </c>
      <c r="E21" s="9">
        <v>79.593148690077811</v>
      </c>
      <c r="F21" s="9">
        <v>3.0954882906284031</v>
      </c>
      <c r="G21" s="9">
        <v>0.47556906342321492</v>
      </c>
      <c r="H21" s="9">
        <v>2.6199192272051883</v>
      </c>
      <c r="I21" s="9">
        <v>7431.3795405694273</v>
      </c>
      <c r="J21" s="9">
        <v>93.289999999999978</v>
      </c>
      <c r="K21" s="9">
        <v>43.833200575717704</v>
      </c>
      <c r="L21" s="9">
        <v>241.47795517150215</v>
      </c>
      <c r="M21" s="9">
        <v>69.275906516585351</v>
      </c>
      <c r="N21" s="9">
        <v>22.479534176361344</v>
      </c>
      <c r="O21" s="9">
        <v>2.1355557467543278</v>
      </c>
      <c r="P21" s="9">
        <v>0.70917412452761042</v>
      </c>
      <c r="Q21" s="9">
        <v>0.10637611867914155</v>
      </c>
      <c r="R21" s="9">
        <v>0.38440003441577897</v>
      </c>
      <c r="S21" s="9">
        <v>2.8531115574721988</v>
      </c>
      <c r="T21" s="9">
        <v>352.66955617546483</v>
      </c>
      <c r="U21" s="9">
        <v>7098.1461447049787</v>
      </c>
      <c r="V21" s="9">
        <v>0.89999999999999991</v>
      </c>
      <c r="W21" s="9">
        <v>6.9275906516585353E-3</v>
      </c>
      <c r="X21" s="9">
        <v>9.6391014258879332E-3</v>
      </c>
      <c r="Y21" s="9">
        <v>0.10972982884933113</v>
      </c>
      <c r="Z21" s="9">
        <v>0.25</v>
      </c>
      <c r="AA21" s="9">
        <v>2.2479534176361345E-3</v>
      </c>
      <c r="AB21" s="9">
        <v>3.0249476633027487E-3</v>
      </c>
      <c r="AC21" s="10">
        <v>3.570149978681092E-2</v>
      </c>
      <c r="AE21" s="6" t="s">
        <v>75</v>
      </c>
    </row>
    <row r="22" spans="1:31" x14ac:dyDescent="0.2">
      <c r="A22" s="6"/>
      <c r="B22" s="8">
        <v>10</v>
      </c>
      <c r="C22" s="9">
        <v>6.0000000000000001E-3</v>
      </c>
      <c r="D22" s="9">
        <v>2.3999999999999998E-3</v>
      </c>
      <c r="E22" s="9">
        <v>76.973229462872567</v>
      </c>
      <c r="F22" s="9">
        <v>3.0954882906284031</v>
      </c>
      <c r="G22" s="9">
        <v>0.45991504604066363</v>
      </c>
      <c r="H22" s="9">
        <v>2.6355732445877393</v>
      </c>
      <c r="I22" s="9">
        <v>7098.1461447049787</v>
      </c>
      <c r="J22" s="9">
        <v>92.139999999999972</v>
      </c>
      <c r="K22" s="9">
        <v>41.889062393383632</v>
      </c>
      <c r="L22" s="9">
        <v>240.04801111705123</v>
      </c>
      <c r="M22" s="9">
        <v>44.602593730970888</v>
      </c>
      <c r="N22" s="9">
        <v>20.96637822759169</v>
      </c>
      <c r="O22" s="9">
        <v>1.9918059316212107</v>
      </c>
      <c r="P22" s="9">
        <v>0.65307933448281152</v>
      </c>
      <c r="Q22" s="9">
        <v>9.796190017242172E-2</v>
      </c>
      <c r="R22" s="9">
        <v>0.35852506769181791</v>
      </c>
      <c r="S22" s="9">
        <v>2.8193707351043487</v>
      </c>
      <c r="T22" s="9">
        <v>324.60253613557558</v>
      </c>
      <c r="U22" s="9">
        <v>6792.5291616293653</v>
      </c>
      <c r="V22" s="9">
        <v>0.6</v>
      </c>
      <c r="W22" s="9">
        <v>4.4602593730970891E-3</v>
      </c>
      <c r="X22" s="9">
        <v>6.5062892848552975E-3</v>
      </c>
      <c r="Y22" s="9">
        <v>7.5341287781267807E-2</v>
      </c>
      <c r="Z22" s="9">
        <v>0.24</v>
      </c>
      <c r="AA22" s="9">
        <v>2.0966378227591691E-3</v>
      </c>
      <c r="AB22" s="9">
        <v>2.9537822693650835E-3</v>
      </c>
      <c r="AC22" s="10">
        <v>3.4875180643674564E-2</v>
      </c>
      <c r="AE22" s="6" t="s">
        <v>76</v>
      </c>
    </row>
    <row r="23" spans="1:31" x14ac:dyDescent="0.2">
      <c r="A23" s="6"/>
      <c r="B23" s="8">
        <v>11</v>
      </c>
      <c r="C23" s="9">
        <v>6.0000000000000001E-3</v>
      </c>
      <c r="D23" s="9">
        <v>2.2000000000000001E-3</v>
      </c>
      <c r="E23" s="9">
        <v>74.337656218284849</v>
      </c>
      <c r="F23" s="9">
        <v>3.0954882906284031</v>
      </c>
      <c r="G23" s="9">
        <v>0.44416749590425197</v>
      </c>
      <c r="H23" s="9">
        <v>2.6513207947241511</v>
      </c>
      <c r="I23" s="9">
        <v>6792.5291616293653</v>
      </c>
      <c r="J23" s="9">
        <v>91.299999999999983</v>
      </c>
      <c r="K23" s="9">
        <v>40.108324880153944</v>
      </c>
      <c r="L23" s="9">
        <v>239.4142677635908</v>
      </c>
      <c r="M23" s="9">
        <v>43.011801254136415</v>
      </c>
      <c r="N23" s="9">
        <v>18.653007218771496</v>
      </c>
      <c r="O23" s="9">
        <v>1.7720356857832922</v>
      </c>
      <c r="P23" s="9">
        <v>0.64506878779576238</v>
      </c>
      <c r="Q23" s="9">
        <v>9.676031816936434E-2</v>
      </c>
      <c r="R23" s="9">
        <v>0.31896642344099257</v>
      </c>
      <c r="S23" s="9">
        <v>2.7952259264374475</v>
      </c>
      <c r="T23" s="9">
        <v>320.45040812782088</v>
      </c>
      <c r="U23" s="9">
        <v>6491.4500853928666</v>
      </c>
      <c r="V23" s="9">
        <v>0.6</v>
      </c>
      <c r="W23" s="9">
        <v>4.3011801254136412E-3</v>
      </c>
      <c r="X23" s="9">
        <v>6.5662224931618413E-3</v>
      </c>
      <c r="Y23" s="9">
        <v>7.6010433997397819E-2</v>
      </c>
      <c r="Z23" s="9">
        <v>0.22</v>
      </c>
      <c r="AA23" s="9">
        <v>1.8653007218771495E-3</v>
      </c>
      <c r="AB23" s="9">
        <v>2.7461063139988177E-3</v>
      </c>
      <c r="AC23" s="10">
        <v>3.2460091054571483E-2</v>
      </c>
      <c r="AE23" s="6" t="s">
        <v>77</v>
      </c>
    </row>
    <row r="24" spans="1:31" x14ac:dyDescent="0.2">
      <c r="A24" s="6"/>
      <c r="B24" s="8">
        <v>12</v>
      </c>
      <c r="C24" s="9">
        <v>7.0000000000000001E-3</v>
      </c>
      <c r="D24" s="9">
        <v>2.0999999999999999E-3</v>
      </c>
      <c r="E24" s="9">
        <v>71.686335423560664</v>
      </c>
      <c r="F24" s="9">
        <v>3.0954882906284031</v>
      </c>
      <c r="G24" s="9">
        <v>0.42832585415577501</v>
      </c>
      <c r="H24" s="9">
        <v>2.6671624364726281</v>
      </c>
      <c r="I24" s="9">
        <v>6491.4500853928666</v>
      </c>
      <c r="J24" s="9">
        <v>90.47999999999999</v>
      </c>
      <c r="K24" s="9">
        <v>38.348013722566535</v>
      </c>
      <c r="L24" s="9">
        <v>238.79105293739437</v>
      </c>
      <c r="M24" s="9">
        <v>48.313421090961633</v>
      </c>
      <c r="N24" s="9">
        <v>17.261476444194244</v>
      </c>
      <c r="O24" s="9">
        <v>1.6398402621984531</v>
      </c>
      <c r="P24" s="9">
        <v>0.65090497550184512</v>
      </c>
      <c r="Q24" s="9">
        <v>9.7635746325276759E-2</v>
      </c>
      <c r="R24" s="9">
        <v>0.29517124719572158</v>
      </c>
      <c r="S24" s="9">
        <v>2.7713906665996091</v>
      </c>
      <c r="T24" s="9">
        <v>323.27722537749861</v>
      </c>
      <c r="U24" s="9">
        <v>6187.0841349203165</v>
      </c>
      <c r="V24" s="9">
        <v>0.70000000000000007</v>
      </c>
      <c r="W24" s="9">
        <v>4.8313421090961633E-3</v>
      </c>
      <c r="X24" s="9">
        <v>7.7299924925397145E-3</v>
      </c>
      <c r="Y24" s="9">
        <v>8.8916095973518017E-2</v>
      </c>
      <c r="Z24" s="9">
        <v>0.21</v>
      </c>
      <c r="AA24" s="9">
        <v>1.7261476444194244E-3</v>
      </c>
      <c r="AB24" s="9">
        <v>2.6591094774087859E-3</v>
      </c>
      <c r="AC24" s="10">
        <v>3.1446748597122709E-2</v>
      </c>
      <c r="AE24" s="6" t="s">
        <v>78</v>
      </c>
    </row>
    <row r="25" spans="1:31" x14ac:dyDescent="0.2">
      <c r="A25" s="6"/>
      <c r="B25" s="8">
        <v>13</v>
      </c>
      <c r="C25" s="9">
        <v>5.0000000000000001E-3</v>
      </c>
      <c r="D25" s="9">
        <v>2E-3</v>
      </c>
      <c r="E25" s="9">
        <v>69.019172987087927</v>
      </c>
      <c r="F25" s="9">
        <v>3.0954882906284031</v>
      </c>
      <c r="G25" s="9">
        <v>0.41238955859785037</v>
      </c>
      <c r="H25" s="9">
        <v>2.6830987320305528</v>
      </c>
      <c r="I25" s="9">
        <v>6187.0841349203165</v>
      </c>
      <c r="J25" s="9">
        <v>89.57</v>
      </c>
      <c r="K25" s="9">
        <v>36.566582160871384</v>
      </c>
      <c r="L25" s="9">
        <v>237.9103645691491</v>
      </c>
      <c r="M25" s="9">
        <v>33.168037127528684</v>
      </c>
      <c r="N25" s="9">
        <v>15.918629738015563</v>
      </c>
      <c r="O25" s="9">
        <v>1.5122698251114786</v>
      </c>
      <c r="P25" s="9">
        <v>0.61528996771509836</v>
      </c>
      <c r="Q25" s="9">
        <v>9.2293495157264746E-2</v>
      </c>
      <c r="R25" s="9">
        <v>0.27220856852006614</v>
      </c>
      <c r="S25" s="9">
        <v>3.0764498385754919</v>
      </c>
      <c r="T25" s="9">
        <v>305.10101181269272</v>
      </c>
      <c r="U25" s="9">
        <v>5900.0871034856227</v>
      </c>
      <c r="V25" s="9">
        <v>0.5</v>
      </c>
      <c r="W25" s="9">
        <v>3.3168037127528686E-3</v>
      </c>
      <c r="X25" s="9">
        <v>5.5774981348252258E-3</v>
      </c>
      <c r="Y25" s="9">
        <v>6.4914514449835203E-2</v>
      </c>
      <c r="Z25" s="9">
        <v>0.2</v>
      </c>
      <c r="AA25" s="9">
        <v>1.5918629738015562E-3</v>
      </c>
      <c r="AB25" s="9">
        <v>2.5728807610954814E-3</v>
      </c>
      <c r="AC25" s="10">
        <v>3.044139329629969E-2</v>
      </c>
      <c r="AE25" s="6" t="s">
        <v>79</v>
      </c>
    </row>
    <row r="26" spans="1:31" x14ac:dyDescent="0.2">
      <c r="A26" s="6"/>
      <c r="B26" s="8">
        <v>14</v>
      </c>
      <c r="C26" s="9">
        <v>4.0000000000000001E-3</v>
      </c>
      <c r="D26" s="9">
        <v>1.9E-3</v>
      </c>
      <c r="E26" s="9">
        <v>66.336074255057355</v>
      </c>
      <c r="F26" s="9">
        <v>3.0954882906284031</v>
      </c>
      <c r="G26" s="9">
        <v>0.39635804367396771</v>
      </c>
      <c r="H26" s="9">
        <v>2.6991302469544354</v>
      </c>
      <c r="I26" s="9">
        <v>5900.0871034856227</v>
      </c>
      <c r="J26" s="9">
        <v>88.86999999999999</v>
      </c>
      <c r="K26" s="9">
        <v>34.887435004182635</v>
      </c>
      <c r="L26" s="9">
        <v>237.5774443369294</v>
      </c>
      <c r="M26" s="9">
        <v>25.454777603241169</v>
      </c>
      <c r="N26" s="9">
        <v>14.624913597945788</v>
      </c>
      <c r="O26" s="9">
        <v>1.38936679180485</v>
      </c>
      <c r="P26" s="9">
        <v>0.59583931388870637</v>
      </c>
      <c r="Q26" s="9">
        <v>8.9375897083305941E-2</v>
      </c>
      <c r="R26" s="9">
        <v>0.250086022524873</v>
      </c>
      <c r="S26" s="9">
        <v>2.9791965694435318</v>
      </c>
      <c r="T26" s="9">
        <v>295.39452593321755</v>
      </c>
      <c r="U26" s="9">
        <v>5622.4299679475062</v>
      </c>
      <c r="V26" s="9">
        <v>0.4</v>
      </c>
      <c r="W26" s="9">
        <v>2.545477760324117E-3</v>
      </c>
      <c r="X26" s="9">
        <v>4.4971393862965328E-3</v>
      </c>
      <c r="Y26" s="9">
        <v>5.2650679576122128E-2</v>
      </c>
      <c r="Z26" s="9">
        <v>0.19</v>
      </c>
      <c r="AA26" s="9">
        <v>1.4624913597945789E-3</v>
      </c>
      <c r="AB26" s="9">
        <v>2.4787623201877407E-3</v>
      </c>
      <c r="AC26" s="10">
        <v>2.9342958531369923E-2</v>
      </c>
      <c r="AE26" s="6" t="s">
        <v>105</v>
      </c>
    </row>
    <row r="27" spans="1:31" x14ac:dyDescent="0.2">
      <c r="A27" s="6"/>
      <c r="B27" s="8">
        <v>15</v>
      </c>
      <c r="C27" s="9">
        <v>8.9999999999999993E-3</v>
      </c>
      <c r="D27" s="9">
        <v>1.8E-3</v>
      </c>
      <c r="E27" s="9">
        <v>63.636944008102972</v>
      </c>
      <c r="F27" s="9">
        <v>3.0954882906284031</v>
      </c>
      <c r="G27" s="9">
        <v>0.38023074044841526</v>
      </c>
      <c r="H27" s="9">
        <v>2.715257550179988</v>
      </c>
      <c r="I27" s="9">
        <v>5622.4299679475062</v>
      </c>
      <c r="J27" s="9">
        <v>88.279999999999987</v>
      </c>
      <c r="K27" s="9">
        <v>33.262585174427365</v>
      </c>
      <c r="L27" s="9">
        <v>237.53073048974534</v>
      </c>
      <c r="M27" s="9">
        <v>54.829517812130682</v>
      </c>
      <c r="N27" s="9">
        <v>13.380778119291273</v>
      </c>
      <c r="O27" s="9">
        <v>1.2711739213326709</v>
      </c>
      <c r="P27" s="9">
        <v>0.65124566695260688</v>
      </c>
      <c r="Q27" s="9">
        <v>9.7686850042891016E-2</v>
      </c>
      <c r="R27" s="9">
        <v>0.22881130583988077</v>
      </c>
      <c r="S27" s="9">
        <v>3.2562283347630343</v>
      </c>
      <c r="T27" s="9">
        <v>322.66003524003764</v>
      </c>
      <c r="U27" s="9">
        <v>5316.6889415263395</v>
      </c>
      <c r="V27" s="9">
        <v>0.89999999999999991</v>
      </c>
      <c r="W27" s="9">
        <v>5.482951781213068E-3</v>
      </c>
      <c r="X27" s="9">
        <v>1.0186196976384768E-2</v>
      </c>
      <c r="Y27" s="9">
        <v>0.11561357150588181</v>
      </c>
      <c r="Z27" s="9">
        <v>0.18</v>
      </c>
      <c r="AA27" s="9">
        <v>1.3380778119291272E-3</v>
      </c>
      <c r="AB27" s="9">
        <v>2.3798923589218109E-3</v>
      </c>
      <c r="AC27" s="10">
        <v>2.8187841381144385E-2</v>
      </c>
      <c r="AE27" s="6" t="s">
        <v>80</v>
      </c>
    </row>
    <row r="28" spans="1:31" x14ac:dyDescent="0.2">
      <c r="A28" s="6"/>
      <c r="B28" s="8">
        <v>16</v>
      </c>
      <c r="C28" s="9">
        <v>4.0000000000000001E-3</v>
      </c>
      <c r="D28" s="9">
        <v>1.6999999999999999E-3</v>
      </c>
      <c r="E28" s="9">
        <v>60.921686457922888</v>
      </c>
      <c r="F28" s="9">
        <v>3.0954882906284031</v>
      </c>
      <c r="G28" s="9">
        <v>0.36400707658608927</v>
      </c>
      <c r="H28" s="9">
        <v>2.7314812140423137</v>
      </c>
      <c r="I28" s="9">
        <v>5316.6889415263395</v>
      </c>
      <c r="J28" s="9">
        <v>87.199999999999974</v>
      </c>
      <c r="K28" s="9">
        <v>31.464771700101547</v>
      </c>
      <c r="L28" s="9">
        <v>236.10923614181752</v>
      </c>
      <c r="M28" s="9">
        <v>23.276082097552234</v>
      </c>
      <c r="N28" s="9">
        <v>12.186677022005311</v>
      </c>
      <c r="O28" s="9">
        <v>1.1577343170905046</v>
      </c>
      <c r="P28" s="9">
        <v>0.58170017987894262</v>
      </c>
      <c r="Q28" s="9">
        <v>8.7255026981841385E-2</v>
      </c>
      <c r="R28" s="9">
        <v>0.20839217707629082</v>
      </c>
      <c r="S28" s="9">
        <v>2.9085008993947135</v>
      </c>
      <c r="T28" s="9">
        <v>288.22197597323003</v>
      </c>
      <c r="U28" s="9">
        <v>5045.116946264965</v>
      </c>
      <c r="V28" s="9">
        <v>0.4</v>
      </c>
      <c r="W28" s="9">
        <v>2.3276082097552233E-3</v>
      </c>
      <c r="X28" s="9">
        <v>4.5832558382189609E-3</v>
      </c>
      <c r="Y28" s="9">
        <v>5.363362270593397E-2</v>
      </c>
      <c r="Z28" s="9">
        <v>0.16999999999999998</v>
      </c>
      <c r="AA28" s="9">
        <v>1.2186677022005311E-3</v>
      </c>
      <c r="AB28" s="9">
        <v>2.2921553538369508E-3</v>
      </c>
      <c r="AC28" s="10">
        <v>2.7161737649458395E-2</v>
      </c>
      <c r="AE28" s="6" t="s">
        <v>81</v>
      </c>
    </row>
    <row r="29" spans="1:31" x14ac:dyDescent="0.2">
      <c r="A29" s="6"/>
      <c r="B29" s="8">
        <v>17</v>
      </c>
      <c r="C29" s="9">
        <v>8.0000000000000002E-3</v>
      </c>
      <c r="D29" s="9">
        <v>1.6000000000000001E-3</v>
      </c>
      <c r="E29" s="9">
        <v>58.190205243880591</v>
      </c>
      <c r="F29" s="9">
        <v>3.0954882906284031</v>
      </c>
      <c r="G29" s="9">
        <v>0.34768647633218652</v>
      </c>
      <c r="H29" s="9">
        <v>2.7478018142962166</v>
      </c>
      <c r="I29" s="9">
        <v>5045.116946264965</v>
      </c>
      <c r="J29" s="9">
        <v>86.629999999999967</v>
      </c>
      <c r="K29" s="9">
        <v>29.869745181698132</v>
      </c>
      <c r="L29" s="9">
        <v>236.06365386618788</v>
      </c>
      <c r="M29" s="9">
        <v>44.353922743667503</v>
      </c>
      <c r="N29" s="9">
        <v>11.043067677934069</v>
      </c>
      <c r="O29" s="9">
        <v>1.0490914294037366</v>
      </c>
      <c r="P29" s="9">
        <v>0.62057464358310699</v>
      </c>
      <c r="Q29" s="9">
        <v>9.308619653746604E-2</v>
      </c>
      <c r="R29" s="9">
        <v>0.18883645729267257</v>
      </c>
      <c r="S29" s="9">
        <v>3.1028732179155352</v>
      </c>
      <c r="T29" s="9">
        <v>307.33104270562848</v>
      </c>
      <c r="U29" s="9">
        <v>4753.6563019771756</v>
      </c>
      <c r="V29" s="9">
        <v>0.8</v>
      </c>
      <c r="W29" s="9">
        <v>4.4353922743667505E-3</v>
      </c>
      <c r="X29" s="9">
        <v>9.2268008916366571E-3</v>
      </c>
      <c r="Y29" s="9">
        <v>0.10527205392827277</v>
      </c>
      <c r="Z29" s="9">
        <v>0.16</v>
      </c>
      <c r="AA29" s="9">
        <v>1.1043067677934068E-3</v>
      </c>
      <c r="AB29" s="9">
        <v>2.1888625765374074E-3</v>
      </c>
      <c r="AC29" s="10">
        <v>2.5952432878911025E-2</v>
      </c>
      <c r="AE29" s="6" t="s">
        <v>82</v>
      </c>
    </row>
    <row r="30" spans="1:31" x14ac:dyDescent="0.2">
      <c r="A30" s="6"/>
      <c r="B30" s="8">
        <v>18</v>
      </c>
      <c r="C30" s="9">
        <v>7.0000000000000001E-3</v>
      </c>
      <c r="D30" s="9">
        <v>1.5E-3</v>
      </c>
      <c r="E30" s="9">
        <v>55.442403429584296</v>
      </c>
      <c r="F30" s="9">
        <v>3.0954882906284031</v>
      </c>
      <c r="G30" s="9">
        <v>0.33126836049176617</v>
      </c>
      <c r="H30" s="9">
        <v>2.7642199301366368</v>
      </c>
      <c r="I30" s="9">
        <v>4753.6563019771756</v>
      </c>
      <c r="J30" s="9">
        <v>85.669999999999973</v>
      </c>
      <c r="K30" s="9">
        <v>28.154497958195197</v>
      </c>
      <c r="L30" s="9">
        <v>234.93105186231267</v>
      </c>
      <c r="M30" s="9">
        <v>36.874728449613364</v>
      </c>
      <c r="N30" s="9">
        <v>9.9504111382586036</v>
      </c>
      <c r="O30" s="9">
        <v>0.94528905813456732</v>
      </c>
      <c r="P30" s="9">
        <v>0.59992055654024257</v>
      </c>
      <c r="Q30" s="9">
        <v>8.9988083481036374E-2</v>
      </c>
      <c r="R30" s="9">
        <v>0.17015203046422211</v>
      </c>
      <c r="S30" s="9">
        <v>2.9996027827012126</v>
      </c>
      <c r="T30" s="9">
        <v>297.04590387506903</v>
      </c>
      <c r="U30" s="9">
        <v>4471.9001105269917</v>
      </c>
      <c r="V30" s="9">
        <v>0.70000000000000007</v>
      </c>
      <c r="W30" s="9">
        <v>3.6874728449613364E-3</v>
      </c>
      <c r="X30" s="9">
        <v>8.163823135397574E-3</v>
      </c>
      <c r="Y30" s="9">
        <v>9.3684641325963769E-2</v>
      </c>
      <c r="Z30" s="9">
        <v>0.15</v>
      </c>
      <c r="AA30" s="9">
        <v>9.9504111382586031E-4</v>
      </c>
      <c r="AB30" s="9">
        <v>2.0932121521111983E-3</v>
      </c>
      <c r="AC30" s="10">
        <v>2.4831372631713089E-2</v>
      </c>
      <c r="AE30" s="6" t="s">
        <v>83</v>
      </c>
    </row>
    <row r="31" spans="1:31" x14ac:dyDescent="0.2">
      <c r="A31" s="6"/>
      <c r="B31" s="8">
        <v>19</v>
      </c>
      <c r="C31" s="9">
        <v>5.0000000000000001E-3</v>
      </c>
      <c r="D31" s="9">
        <v>1.4E-3</v>
      </c>
      <c r="E31" s="9">
        <v>52.678183499447663</v>
      </c>
      <c r="F31" s="9">
        <v>3.0954882906284031</v>
      </c>
      <c r="G31" s="9">
        <v>0.3147521464091998</v>
      </c>
      <c r="H31" s="9">
        <v>2.7807361442192033</v>
      </c>
      <c r="I31" s="9">
        <v>4471.9001105269917</v>
      </c>
      <c r="J31" s="9">
        <v>84.819999999999965</v>
      </c>
      <c r="K31" s="9">
        <v>26.492688163262333</v>
      </c>
      <c r="L31" s="9">
        <v>234.05456125893022</v>
      </c>
      <c r="M31" s="9">
        <v>24.948723677614229</v>
      </c>
      <c r="N31" s="9">
        <v>8.9091721611344159</v>
      </c>
      <c r="O31" s="9">
        <v>0.84637135530776952</v>
      </c>
      <c r="P31" s="9">
        <v>0.57099194619961358</v>
      </c>
      <c r="Q31" s="9">
        <v>8.5648791929942028E-2</v>
      </c>
      <c r="R31" s="9">
        <v>0.15234684395539852</v>
      </c>
      <c r="S31" s="9">
        <v>2.8549597309980679</v>
      </c>
      <c r="T31" s="9">
        <v>282.67839714203154</v>
      </c>
      <c r="U31" s="9">
        <v>4203.9876534293126</v>
      </c>
      <c r="V31" s="9">
        <v>0.5</v>
      </c>
      <c r="W31" s="9">
        <v>2.4948723677614229E-3</v>
      </c>
      <c r="X31" s="9">
        <v>5.8896363207268749E-3</v>
      </c>
      <c r="Y31" s="9">
        <v>6.8430595658169557E-2</v>
      </c>
      <c r="Z31" s="9">
        <v>0.13999999999999999</v>
      </c>
      <c r="AA31" s="9">
        <v>8.9091721611344156E-4</v>
      </c>
      <c r="AB31" s="9">
        <v>1.9922565220457291E-3</v>
      </c>
      <c r="AC31" s="10">
        <v>2.3646850448283518E-2</v>
      </c>
      <c r="AE31" s="6" t="s">
        <v>84</v>
      </c>
    </row>
    <row r="32" spans="1:31" x14ac:dyDescent="0.2">
      <c r="A32" s="6"/>
      <c r="B32" s="8">
        <v>20</v>
      </c>
      <c r="C32" s="9">
        <v>6.0000000000000001E-3</v>
      </c>
      <c r="D32" s="9">
        <v>1.4E-3</v>
      </c>
      <c r="E32" s="9">
        <v>49.897447355228394</v>
      </c>
      <c r="F32" s="9">
        <v>3.0954882906284031</v>
      </c>
      <c r="G32" s="9">
        <v>0.29813724794748969</v>
      </c>
      <c r="H32" s="9">
        <v>2.7973510426809134</v>
      </c>
      <c r="I32" s="9">
        <v>4203.9876534293126</v>
      </c>
      <c r="J32" s="9">
        <v>84.179999999999964</v>
      </c>
      <c r="K32" s="9">
        <v>24.912348438492227</v>
      </c>
      <c r="L32" s="9">
        <v>233.74665312641702</v>
      </c>
      <c r="M32" s="9">
        <v>28.260057787528485</v>
      </c>
      <c r="N32" s="9">
        <v>8.5290361041092027</v>
      </c>
      <c r="O32" s="9">
        <v>0.81025842989037422</v>
      </c>
      <c r="P32" s="9">
        <v>0.57383811870487544</v>
      </c>
      <c r="Q32" s="9">
        <v>8.6075717805731311E-2</v>
      </c>
      <c r="R32" s="9">
        <v>0.14584651738026735</v>
      </c>
      <c r="S32" s="9">
        <v>2.8691905935243773</v>
      </c>
      <c r="T32" s="9">
        <v>284.05436683491286</v>
      </c>
      <c r="U32" s="9">
        <v>3933.4519064112578</v>
      </c>
      <c r="V32" s="9">
        <v>0.6</v>
      </c>
      <c r="W32" s="9">
        <v>2.8260057787528486E-3</v>
      </c>
      <c r="X32" s="9">
        <v>7.121081135097157E-3</v>
      </c>
      <c r="Y32" s="9">
        <v>8.2184312435439444E-2</v>
      </c>
      <c r="Z32" s="9">
        <v>0.13999999999999999</v>
      </c>
      <c r="AA32" s="9">
        <v>8.5290361041092029E-4</v>
      </c>
      <c r="AB32" s="9">
        <v>2.0287966586086011E-3</v>
      </c>
      <c r="AC32" s="10">
        <v>2.4075731619202956E-2</v>
      </c>
      <c r="AE32" s="6" t="s">
        <v>85</v>
      </c>
    </row>
    <row r="33" spans="1:31" x14ac:dyDescent="0.2">
      <c r="A33" s="6"/>
      <c r="B33" s="8">
        <v>21</v>
      </c>
      <c r="C33" s="9">
        <v>0.01</v>
      </c>
      <c r="D33" s="9">
        <v>1.2999999999999999E-3</v>
      </c>
      <c r="E33" s="9">
        <v>47.100096312547471</v>
      </c>
      <c r="F33" s="9">
        <v>3.0954882906284031</v>
      </c>
      <c r="G33" s="9">
        <v>0.28142307546747114</v>
      </c>
      <c r="H33" s="9">
        <v>2.814065215160932</v>
      </c>
      <c r="I33" s="9">
        <v>3933.4519064112578</v>
      </c>
      <c r="J33" s="9">
        <v>83.439999999999969</v>
      </c>
      <c r="K33" s="9">
        <v>23.315901802479974</v>
      </c>
      <c r="L33" s="9">
        <v>233.14530307608311</v>
      </c>
      <c r="M33" s="9">
        <v>44.286031097386541</v>
      </c>
      <c r="N33" s="9">
        <v>7.5647266817044772</v>
      </c>
      <c r="O33" s="9">
        <v>0.71864903476192532</v>
      </c>
      <c r="P33" s="9">
        <v>0.6014944719518992</v>
      </c>
      <c r="Q33" s="9">
        <v>9.0224170792784872E-2</v>
      </c>
      <c r="R33" s="9">
        <v>0.12935682625714656</v>
      </c>
      <c r="S33" s="9">
        <v>3.0074723597594959</v>
      </c>
      <c r="T33" s="9">
        <v>297.63733718195016</v>
      </c>
      <c r="U33" s="9">
        <v>3648.4558455560837</v>
      </c>
      <c r="V33" s="9">
        <v>1</v>
      </c>
      <c r="W33" s="9">
        <v>4.4286031097386545E-3</v>
      </c>
      <c r="X33" s="9">
        <v>1.1973578289769462E-2</v>
      </c>
      <c r="Y33" s="9">
        <v>0.13458841779877306</v>
      </c>
      <c r="Z33" s="9">
        <v>0.13</v>
      </c>
      <c r="AA33" s="9">
        <v>7.5647266817044769E-4</v>
      </c>
      <c r="AB33" s="9">
        <v>1.9231776215121608E-3</v>
      </c>
      <c r="AC33" s="10">
        <v>2.2835581184043829E-2</v>
      </c>
      <c r="AE33" s="6" t="s">
        <v>86</v>
      </c>
    </row>
    <row r="34" spans="1:31" x14ac:dyDescent="0.2">
      <c r="A34" s="6"/>
      <c r="B34" s="8">
        <v>22</v>
      </c>
      <c r="C34" s="9">
        <v>0.01</v>
      </c>
      <c r="D34" s="9">
        <v>1.1999999999999999E-3</v>
      </c>
      <c r="E34" s="9">
        <v>44.286031097386505</v>
      </c>
      <c r="F34" s="9">
        <v>3.0954882906284031</v>
      </c>
      <c r="G34" s="9">
        <v>0.26460903580688439</v>
      </c>
      <c r="H34" s="9">
        <v>2.8308792548215189</v>
      </c>
      <c r="I34" s="9">
        <v>3648.4558455560837</v>
      </c>
      <c r="J34" s="9">
        <v>82.309999999999974</v>
      </c>
      <c r="K34" s="9">
        <v>21.631788677212789</v>
      </c>
      <c r="L34" s="9">
        <v>231.42437908165908</v>
      </c>
      <c r="M34" s="9">
        <v>41.455151842564987</v>
      </c>
      <c r="N34" s="9">
        <v>6.6530884115501152</v>
      </c>
      <c r="O34" s="9">
        <v>0.63204339909726093</v>
      </c>
      <c r="P34" s="9">
        <v>0.58902263920287379</v>
      </c>
      <c r="Q34" s="9">
        <v>8.8353395880431049E-2</v>
      </c>
      <c r="R34" s="9">
        <v>0.11376781183750696</v>
      </c>
      <c r="S34" s="9">
        <v>2.9451131960143688</v>
      </c>
      <c r="T34" s="9">
        <v>291.40710595759896</v>
      </c>
      <c r="U34" s="9">
        <v>3368.9232262203095</v>
      </c>
      <c r="V34" s="9">
        <v>1</v>
      </c>
      <c r="W34" s="9">
        <v>4.1455151842564987E-3</v>
      </c>
      <c r="X34" s="9">
        <v>1.213755091707432E-2</v>
      </c>
      <c r="Y34" s="9">
        <v>0.13631032748749838</v>
      </c>
      <c r="Z34" s="9">
        <v>0.12</v>
      </c>
      <c r="AA34" s="9">
        <v>6.6530884115501151E-4</v>
      </c>
      <c r="AB34" s="9">
        <v>1.8235354059865502E-3</v>
      </c>
      <c r="AC34" s="10">
        <v>2.1664284872471073E-2</v>
      </c>
      <c r="AE34" s="6" t="s">
        <v>87</v>
      </c>
    </row>
    <row r="35" spans="1:31" x14ac:dyDescent="0.2">
      <c r="A35" s="6"/>
      <c r="B35" s="8">
        <v>23</v>
      </c>
      <c r="C35" s="9">
        <v>5.0000000000000001E-3</v>
      </c>
      <c r="D35" s="9">
        <v>1.1999999999999999E-3</v>
      </c>
      <c r="E35" s="9">
        <v>41.455151842564945</v>
      </c>
      <c r="F35" s="9">
        <v>3.0954882906284031</v>
      </c>
      <c r="G35" s="9">
        <v>0.24769453225932556</v>
      </c>
      <c r="H35" s="9">
        <v>2.8477937583690776</v>
      </c>
      <c r="I35" s="9">
        <v>3368.9232262203095</v>
      </c>
      <c r="J35" s="9">
        <v>81.189999999999969</v>
      </c>
      <c r="K35" s="9">
        <v>19.976564026714598</v>
      </c>
      <c r="L35" s="9">
        <v>229.67456661246601</v>
      </c>
      <c r="M35" s="9">
        <v>19.303679042097933</v>
      </c>
      <c r="N35" s="9">
        <v>6.3213820199337194</v>
      </c>
      <c r="O35" s="9">
        <v>0.60053129189370336</v>
      </c>
      <c r="P35" s="9">
        <v>0.5379096193625571</v>
      </c>
      <c r="Q35" s="9">
        <v>8.0686442904383565E-2</v>
      </c>
      <c r="R35" s="9">
        <v>0.1080956325408666</v>
      </c>
      <c r="S35" s="9">
        <v>2.6895480968127856</v>
      </c>
      <c r="T35" s="9">
        <v>266.13910118155172</v>
      </c>
      <c r="U35" s="9">
        <v>3113.6235985458115</v>
      </c>
      <c r="V35" s="9">
        <v>0.5</v>
      </c>
      <c r="W35" s="9">
        <v>1.9303679042097933E-3</v>
      </c>
      <c r="X35" s="9">
        <v>6.1521535791225412E-3</v>
      </c>
      <c r="Y35" s="9">
        <v>7.1378334808462229E-2</v>
      </c>
      <c r="Z35" s="9">
        <v>0.12</v>
      </c>
      <c r="AA35" s="9">
        <v>6.3213820199337198E-4</v>
      </c>
      <c r="AB35" s="9">
        <v>1.8763805511311273E-3</v>
      </c>
      <c r="AC35" s="10">
        <v>2.22856408346912E-2</v>
      </c>
      <c r="AE35" s="6" t="s">
        <v>88</v>
      </c>
    </row>
    <row r="36" spans="1:31" x14ac:dyDescent="0.2">
      <c r="A36" s="6"/>
      <c r="B36" s="8">
        <v>24</v>
      </c>
      <c r="C36" s="9">
        <v>8.9999999999999993E-3</v>
      </c>
      <c r="D36" s="9">
        <v>1.1000000000000001E-3</v>
      </c>
      <c r="E36" s="9">
        <v>38.607358084195873</v>
      </c>
      <c r="F36" s="9">
        <v>3.0954882906284031</v>
      </c>
      <c r="G36" s="9">
        <v>0.23067896455307035</v>
      </c>
      <c r="H36" s="9">
        <v>2.8648093260753327</v>
      </c>
      <c r="I36" s="9">
        <v>3113.6235985458115</v>
      </c>
      <c r="J36" s="9">
        <v>80.569999999999965</v>
      </c>
      <c r="K36" s="9">
        <v>18.468157902118804</v>
      </c>
      <c r="L36" s="9">
        <v>229.35663464559101</v>
      </c>
      <c r="M36" s="9">
        <v>32.168293882308483</v>
      </c>
      <c r="N36" s="9">
        <v>5.4887192090751231</v>
      </c>
      <c r="O36" s="9">
        <v>0.52142832486213675</v>
      </c>
      <c r="P36" s="9">
        <v>0.5599861728600366</v>
      </c>
      <c r="Q36" s="9">
        <v>8.3997925929005485E-2</v>
      </c>
      <c r="R36" s="9">
        <v>9.3857098475184614E-2</v>
      </c>
      <c r="S36" s="9">
        <v>2.7999308643001832</v>
      </c>
      <c r="T36" s="9">
        <v>276.97674269331606</v>
      </c>
      <c r="U36" s="9">
        <v>2846.6099508088373</v>
      </c>
      <c r="V36" s="9">
        <v>0.89999999999999991</v>
      </c>
      <c r="W36" s="9">
        <v>3.2168293882308481E-3</v>
      </c>
      <c r="X36" s="9">
        <v>1.1158674872268397E-2</v>
      </c>
      <c r="Y36" s="9">
        <v>0.12598417692339603</v>
      </c>
      <c r="Z36" s="9">
        <v>0.11</v>
      </c>
      <c r="AA36" s="9">
        <v>5.4887192090751229E-4</v>
      </c>
      <c r="AB36" s="9">
        <v>1.7628075569694993E-3</v>
      </c>
      <c r="AC36" s="10">
        <v>2.0949796684944899E-2</v>
      </c>
      <c r="AE36" s="6" t="s">
        <v>89</v>
      </c>
    </row>
    <row r="37" spans="1:31" x14ac:dyDescent="0.2">
      <c r="A37" s="6"/>
      <c r="B37" s="8">
        <v>25</v>
      </c>
      <c r="C37" s="9">
        <v>4.0000000000000001E-3</v>
      </c>
      <c r="D37" s="9">
        <v>1.1000000000000001E-3</v>
      </c>
      <c r="E37" s="9">
        <v>35.74254875812052</v>
      </c>
      <c r="F37" s="9">
        <v>3.0954882906284031</v>
      </c>
      <c r="G37" s="9">
        <v>0.21356172882977012</v>
      </c>
      <c r="H37" s="9">
        <v>2.8819265617986329</v>
      </c>
      <c r="I37" s="9">
        <v>2846.6099508088373</v>
      </c>
      <c r="J37" s="9">
        <v>79.55999999999996</v>
      </c>
      <c r="K37" s="9">
        <v>16.886325898569915</v>
      </c>
      <c r="L37" s="9">
        <v>227.8739332414178</v>
      </c>
      <c r="M37" s="9">
        <v>13.144248878528755</v>
      </c>
      <c r="N37" s="9">
        <v>5.181010594380222</v>
      </c>
      <c r="O37" s="9">
        <v>0.49219600646612111</v>
      </c>
      <c r="P37" s="9">
        <v>0.515809016037033</v>
      </c>
      <c r="Q37" s="9">
        <v>7.7371352405554941E-2</v>
      </c>
      <c r="R37" s="9">
        <v>8.8595281163901793E-2</v>
      </c>
      <c r="S37" s="9">
        <v>2.579045080185165</v>
      </c>
      <c r="T37" s="9">
        <v>255.13588329519092</v>
      </c>
      <c r="U37" s="9">
        <v>2600.4107580945106</v>
      </c>
      <c r="V37" s="9">
        <v>0.4</v>
      </c>
      <c r="W37" s="9">
        <v>1.3144248878528754E-3</v>
      </c>
      <c r="X37" s="9">
        <v>5.0220184866498208E-3</v>
      </c>
      <c r="Y37" s="9">
        <v>5.8627210202704672E-2</v>
      </c>
      <c r="Z37" s="9">
        <v>0.11</v>
      </c>
      <c r="AA37" s="9">
        <v>5.1810105943802219E-4</v>
      </c>
      <c r="AB37" s="9">
        <v>1.8200634031044847E-3</v>
      </c>
      <c r="AC37" s="10">
        <v>2.1623448212493179E-2</v>
      </c>
      <c r="AE37" s="6" t="s">
        <v>90</v>
      </c>
    </row>
    <row r="38" spans="1:31" x14ac:dyDescent="0.2">
      <c r="A38" s="6"/>
      <c r="B38" s="8">
        <v>26</v>
      </c>
      <c r="C38" s="9">
        <v>7.0000000000000001E-3</v>
      </c>
      <c r="D38" s="9">
        <v>1E-3</v>
      </c>
      <c r="E38" s="9">
        <v>32.860622196321799</v>
      </c>
      <c r="F38" s="9">
        <v>3.0954882906284031</v>
      </c>
      <c r="G38" s="9">
        <v>0.19634221762302276</v>
      </c>
      <c r="H38" s="9">
        <v>2.8991460730053804</v>
      </c>
      <c r="I38" s="9">
        <v>2600.4107580945106</v>
      </c>
      <c r="J38" s="9">
        <v>79.049999999999955</v>
      </c>
      <c r="K38" s="9">
        <v>15.428571460817119</v>
      </c>
      <c r="L38" s="9">
        <v>227.81489841676267</v>
      </c>
      <c r="M38" s="9">
        <v>20.973033286321495</v>
      </c>
      <c r="N38" s="9">
        <v>4.4286031097386509</v>
      </c>
      <c r="O38" s="9">
        <v>0.42071729542517183</v>
      </c>
      <c r="P38" s="9">
        <v>0.52843300632780255</v>
      </c>
      <c r="Q38" s="9">
        <v>7.9264950949170382E-2</v>
      </c>
      <c r="R38" s="9">
        <v>7.5729113176530929E-2</v>
      </c>
      <c r="S38" s="9">
        <v>2.6421650316390131</v>
      </c>
      <c r="T38" s="9">
        <v>261.31162835723393</v>
      </c>
      <c r="U38" s="9">
        <v>2347.1942232816878</v>
      </c>
      <c r="V38" s="9">
        <v>0.70000000000000007</v>
      </c>
      <c r="W38" s="9">
        <v>2.0973033286321497E-3</v>
      </c>
      <c r="X38" s="9">
        <v>8.8447786352614834E-3</v>
      </c>
      <c r="Y38" s="9">
        <v>0.10112339363794254</v>
      </c>
      <c r="Z38" s="9">
        <v>0.1</v>
      </c>
      <c r="AA38" s="9">
        <v>4.4286031097386509E-4</v>
      </c>
      <c r="AB38" s="9">
        <v>1.7030398355157457E-3</v>
      </c>
      <c r="AC38" s="10">
        <v>2.0246137793160535E-2</v>
      </c>
      <c r="AE38" s="6" t="s">
        <v>91</v>
      </c>
    </row>
    <row r="39" spans="1:31" x14ac:dyDescent="0.2">
      <c r="A39" s="6"/>
      <c r="B39" s="8">
        <v>27</v>
      </c>
      <c r="C39" s="9">
        <v>4.0000000000000001E-3</v>
      </c>
      <c r="D39" s="9">
        <v>1E-3</v>
      </c>
      <c r="E39" s="9">
        <v>29.961476123316466</v>
      </c>
      <c r="F39" s="9">
        <v>3.0954882906284031</v>
      </c>
      <c r="G39" s="9">
        <v>0.17901981983681589</v>
      </c>
      <c r="H39" s="9">
        <v>2.9164684707915871</v>
      </c>
      <c r="I39" s="9">
        <v>2347.1942232816878</v>
      </c>
      <c r="J39" s="9">
        <v>78.249999999999957</v>
      </c>
      <c r="K39" s="9">
        <v>13.927741983304267</v>
      </c>
      <c r="L39" s="9">
        <v>226.90124702758536</v>
      </c>
      <c r="M39" s="9">
        <v>10.818003061009954</v>
      </c>
      <c r="N39" s="9">
        <v>4.145515184256495</v>
      </c>
      <c r="O39" s="9">
        <v>0.39382394250436703</v>
      </c>
      <c r="P39" s="9">
        <v>0.50329398414379911</v>
      </c>
      <c r="Q39" s="9">
        <v>7.5494097621569861E-2</v>
      </c>
      <c r="R39" s="9">
        <v>7.0888309650786061E-2</v>
      </c>
      <c r="S39" s="9">
        <v>2.516469920718996</v>
      </c>
      <c r="T39" s="9">
        <v>248.87466970226876</v>
      </c>
      <c r="U39" s="9">
        <v>2105.3294580088359</v>
      </c>
      <c r="V39" s="9">
        <v>0.4</v>
      </c>
      <c r="W39" s="9">
        <v>1.0818003061009954E-3</v>
      </c>
      <c r="X39" s="9">
        <v>5.1052865880117969E-3</v>
      </c>
      <c r="Y39" s="9">
        <v>5.9572158809746756E-2</v>
      </c>
      <c r="Z39" s="9">
        <v>0.1</v>
      </c>
      <c r="AA39" s="9">
        <v>4.1455151842564951E-4</v>
      </c>
      <c r="AB39" s="9">
        <v>1.7661577142348778E-3</v>
      </c>
      <c r="AC39" s="10">
        <v>2.0989225129017353E-2</v>
      </c>
      <c r="AE39" s="6" t="s">
        <v>92</v>
      </c>
    </row>
    <row r="40" spans="1:31" x14ac:dyDescent="0.2">
      <c r="A40" s="6"/>
      <c r="B40" s="8">
        <v>28</v>
      </c>
      <c r="C40" s="9">
        <v>0.01</v>
      </c>
      <c r="D40" s="9">
        <v>8.9999999999999998E-4</v>
      </c>
      <c r="E40" s="9">
        <v>27.045007652524827</v>
      </c>
      <c r="F40" s="9">
        <v>3.0954882906284031</v>
      </c>
      <c r="G40" s="9">
        <v>0.16159392072383585</v>
      </c>
      <c r="H40" s="9">
        <v>2.9338943699045674</v>
      </c>
      <c r="I40" s="9">
        <v>2105.3294580088359</v>
      </c>
      <c r="J40" s="9">
        <v>77.749999999999957</v>
      </c>
      <c r="K40" s="9">
        <v>12.49444195036698</v>
      </c>
      <c r="L40" s="9">
        <v>226.848712681021</v>
      </c>
      <c r="M40" s="9">
        <v>24.111113282620259</v>
      </c>
      <c r="N40" s="9">
        <v>3.4746622275776287</v>
      </c>
      <c r="O40" s="9">
        <v>0.33009291161987475</v>
      </c>
      <c r="P40" s="9">
        <v>0.52690853582801656</v>
      </c>
      <c r="Q40" s="9">
        <v>7.9036280374202475E-2</v>
      </c>
      <c r="R40" s="9">
        <v>5.9416724091577451E-2</v>
      </c>
      <c r="S40" s="9">
        <v>2.6345426791400826</v>
      </c>
      <c r="T40" s="9">
        <v>260.48445660619427</v>
      </c>
      <c r="U40" s="9">
        <v>1850.8949698176173</v>
      </c>
      <c r="V40" s="9">
        <v>1</v>
      </c>
      <c r="W40" s="9">
        <v>2.4111113282620257E-3</v>
      </c>
      <c r="X40" s="9">
        <v>1.2844058732365915E-2</v>
      </c>
      <c r="Y40" s="9">
        <v>0.14369365045148208</v>
      </c>
      <c r="Z40" s="9">
        <v>0.09</v>
      </c>
      <c r="AA40" s="9">
        <v>3.4746622275776286E-4</v>
      </c>
      <c r="AB40" s="9">
        <v>1.6504125823916752E-3</v>
      </c>
      <c r="AC40" s="10">
        <v>1.962616146311924E-2</v>
      </c>
    </row>
    <row r="41" spans="1:31" x14ac:dyDescent="0.2">
      <c r="A41" s="6"/>
      <c r="B41" s="8">
        <v>29</v>
      </c>
      <c r="C41" s="9">
        <v>0.01</v>
      </c>
      <c r="D41" s="9">
        <v>8.9999999999999998E-4</v>
      </c>
      <c r="E41" s="9">
        <v>24.111113282620234</v>
      </c>
      <c r="F41" s="9">
        <v>3.0954882906284031</v>
      </c>
      <c r="G41" s="9">
        <v>0.14406390186365592</v>
      </c>
      <c r="H41" s="9">
        <v>2.9514243887647473</v>
      </c>
      <c r="I41" s="9">
        <v>1850.8949698176173</v>
      </c>
      <c r="J41" s="9">
        <v>76.659999999999954</v>
      </c>
      <c r="K41" s="9">
        <v>10.983431878085121</v>
      </c>
      <c r="L41" s="9">
        <v>225.0165953994242</v>
      </c>
      <c r="M41" s="9">
        <v>21.159688893855488</v>
      </c>
      <c r="N41" s="9">
        <v>3.2168293882308467</v>
      </c>
      <c r="O41" s="9">
        <v>0.30559879188193045</v>
      </c>
      <c r="P41" s="9">
        <v>0.5143194323427297</v>
      </c>
      <c r="Q41" s="9">
        <v>7.7147914851409441E-2</v>
      </c>
      <c r="R41" s="9">
        <v>5.5007782538747482E-2</v>
      </c>
      <c r="S41" s="9">
        <v>2.5715971617136484</v>
      </c>
      <c r="T41" s="9">
        <v>254.24724267180025</v>
      </c>
      <c r="U41" s="9">
        <v>1601.5018561361069</v>
      </c>
      <c r="V41" s="9">
        <v>1</v>
      </c>
      <c r="W41" s="9">
        <v>2.1159688893855489E-3</v>
      </c>
      <c r="X41" s="9">
        <v>1.3024242191039143E-2</v>
      </c>
      <c r="Y41" s="9">
        <v>0.1455673658356017</v>
      </c>
      <c r="Z41" s="9">
        <v>0.09</v>
      </c>
      <c r="AA41" s="9">
        <v>3.2168293882308465E-4</v>
      </c>
      <c r="AB41" s="9">
        <v>1.7379859152936298E-3</v>
      </c>
      <c r="AC41" s="10">
        <v>2.0657622152284172E-2</v>
      </c>
    </row>
    <row r="42" spans="1:31" x14ac:dyDescent="0.2">
      <c r="A42" s="6"/>
      <c r="B42" s="8">
        <v>30</v>
      </c>
      <c r="C42" s="9">
        <v>5.0000000000000001E-3</v>
      </c>
      <c r="D42" s="9">
        <v>8.9999999999999998E-4</v>
      </c>
      <c r="E42" s="9">
        <v>21.159688893855389</v>
      </c>
      <c r="F42" s="9">
        <v>3.0954882906284031</v>
      </c>
      <c r="G42" s="9">
        <v>0.12642914114078596</v>
      </c>
      <c r="H42" s="9">
        <v>2.9690591494876171</v>
      </c>
      <c r="I42" s="9">
        <v>1601.5018561361069</v>
      </c>
      <c r="J42" s="9">
        <v>75.569999999999951</v>
      </c>
      <c r="K42" s="9">
        <v>9.5036785395528742</v>
      </c>
      <c r="L42" s="9">
        <v>223.18417626698403</v>
      </c>
      <c r="M42" s="9">
        <v>9.0953148721838861</v>
      </c>
      <c r="N42" s="9">
        <v>2.9574559976689616</v>
      </c>
      <c r="O42" s="9">
        <v>0.28095831977855135</v>
      </c>
      <c r="P42" s="9">
        <v>0.48356633935744159</v>
      </c>
      <c r="Q42" s="9">
        <v>7.2534950903616224E-2</v>
      </c>
      <c r="R42" s="9">
        <v>5.0572497560139242E-2</v>
      </c>
      <c r="S42" s="9">
        <v>2.417831696787208</v>
      </c>
      <c r="T42" s="9">
        <v>239.03962251389095</v>
      </c>
      <c r="U42" s="9">
        <v>1366.2649089992699</v>
      </c>
      <c r="V42" s="9">
        <v>0.5</v>
      </c>
      <c r="W42" s="9">
        <v>9.0953148721838856E-4</v>
      </c>
      <c r="X42" s="9">
        <v>6.6045431447626255E-3</v>
      </c>
      <c r="Y42" s="9">
        <v>7.6438046248857416E-2</v>
      </c>
      <c r="Z42" s="9">
        <v>0.09</v>
      </c>
      <c r="AA42" s="9">
        <v>2.9574559976689618E-4</v>
      </c>
      <c r="AB42" s="9">
        <v>1.8466765969315344E-3</v>
      </c>
      <c r="AC42" s="10">
        <v>2.1936424733484561E-2</v>
      </c>
    </row>
    <row r="43" spans="1:31" x14ac:dyDescent="0.2">
      <c r="A43" s="6"/>
      <c r="B43" s="8">
        <v>31</v>
      </c>
      <c r="C43" s="9">
        <v>8.9999999999999993E-3</v>
      </c>
      <c r="D43" s="9">
        <v>8.0000000000000004E-4</v>
      </c>
      <c r="E43" s="9">
        <v>18.190629744367772</v>
      </c>
      <c r="F43" s="9">
        <v>3.0954882906284031</v>
      </c>
      <c r="G43" s="9">
        <v>0.10868901272259744</v>
      </c>
      <c r="H43" s="9">
        <v>2.9867992779058059</v>
      </c>
      <c r="I43" s="9">
        <v>1366.2649089992699</v>
      </c>
      <c r="J43" s="9">
        <v>74.979999999999947</v>
      </c>
      <c r="K43" s="9">
        <v>8.108200349105763</v>
      </c>
      <c r="L43" s="9">
        <v>222.81522613177299</v>
      </c>
      <c r="M43" s="9">
        <v>13.683447419815767</v>
      </c>
      <c r="N43" s="9">
        <v>2.3969180898653173</v>
      </c>
      <c r="O43" s="9">
        <v>0.22770721853720516</v>
      </c>
      <c r="P43" s="9">
        <v>0.48921374780138904</v>
      </c>
      <c r="Q43" s="9">
        <v>7.3382062170208345E-2</v>
      </c>
      <c r="R43" s="9">
        <v>4.0987299336696925E-2</v>
      </c>
      <c r="S43" s="9">
        <v>2.4460687390069453</v>
      </c>
      <c r="T43" s="9">
        <v>241.78492927091651</v>
      </c>
      <c r="U43" s="9">
        <v>1127.3693173578158</v>
      </c>
      <c r="V43" s="9">
        <v>0.89999999999999991</v>
      </c>
      <c r="W43" s="9">
        <v>1.3683447419815767E-3</v>
      </c>
      <c r="X43" s="9">
        <v>1.1978702042523638E-2</v>
      </c>
      <c r="Y43" s="9">
        <v>0.13464227095586589</v>
      </c>
      <c r="Z43" s="9">
        <v>0.08</v>
      </c>
      <c r="AA43" s="9">
        <v>2.3969180898653173E-4</v>
      </c>
      <c r="AB43" s="9">
        <v>1.7543582317582586E-3</v>
      </c>
      <c r="AC43" s="10">
        <v>2.0850348993635248E-2</v>
      </c>
    </row>
    <row r="44" spans="1:31" x14ac:dyDescent="0.2">
      <c r="A44" s="6"/>
      <c r="B44" s="8">
        <v>32</v>
      </c>
      <c r="C44" s="9">
        <v>4.0000000000000001E-3</v>
      </c>
      <c r="D44" s="9">
        <v>8.0000000000000004E-4</v>
      </c>
      <c r="E44" s="9">
        <v>15.203830466461953</v>
      </c>
      <c r="F44" s="9">
        <v>3.0954882906284031</v>
      </c>
      <c r="G44" s="9">
        <v>9.0842887037110173E-2</v>
      </c>
      <c r="H44" s="9">
        <v>3.0046454035912928</v>
      </c>
      <c r="I44" s="9">
        <v>1127.3693173578158</v>
      </c>
      <c r="J44" s="9">
        <v>73.999999999999943</v>
      </c>
      <c r="K44" s="9">
        <v>6.6887617725424162</v>
      </c>
      <c r="L44" s="9">
        <v>221.23204106642672</v>
      </c>
      <c r="M44" s="9">
        <v>4.8796740251482653</v>
      </c>
      <c r="N44" s="9">
        <v>2.1636006122019862</v>
      </c>
      <c r="O44" s="9">
        <v>0.20554205815918869</v>
      </c>
      <c r="P44" s="9">
        <v>0.46560095372823479</v>
      </c>
      <c r="Q44" s="9">
        <v>6.9840143059235207E-2</v>
      </c>
      <c r="R44" s="9">
        <v>3.6997570468653963E-2</v>
      </c>
      <c r="S44" s="9">
        <v>2.3280047686411742</v>
      </c>
      <c r="T44" s="9">
        <v>230.10557548637931</v>
      </c>
      <c r="U44" s="9">
        <v>899.09400165403895</v>
      </c>
      <c r="V44" s="9">
        <v>0.4</v>
      </c>
      <c r="W44" s="9">
        <v>4.8796740251482655E-4</v>
      </c>
      <c r="X44" s="9">
        <v>5.3917527353265649E-3</v>
      </c>
      <c r="Y44" s="9">
        <v>6.2816415834234252E-2</v>
      </c>
      <c r="Z44" s="9">
        <v>0.08</v>
      </c>
      <c r="AA44" s="9">
        <v>2.1636006122019861E-4</v>
      </c>
      <c r="AB44" s="9">
        <v>1.9191586810902012E-3</v>
      </c>
      <c r="AC44" s="10">
        <v>2.2788363345069618E-2</v>
      </c>
    </row>
    <row r="45" spans="1:31" x14ac:dyDescent="0.2">
      <c r="A45" s="6"/>
      <c r="B45" s="8">
        <v>33</v>
      </c>
      <c r="C45" s="9">
        <v>7.0000000000000001E-3</v>
      </c>
      <c r="D45" s="9">
        <v>8.0000000000000004E-4</v>
      </c>
      <c r="E45" s="9">
        <v>12.199185062870635</v>
      </c>
      <c r="F45" s="9">
        <v>3.0954882906284031</v>
      </c>
      <c r="G45" s="9">
        <v>7.2890130750652052E-2</v>
      </c>
      <c r="H45" s="9">
        <v>3.0225981598777509</v>
      </c>
      <c r="I45" s="9">
        <v>899.09400165403895</v>
      </c>
      <c r="J45" s="9">
        <v>73.519999999999939</v>
      </c>
      <c r="K45" s="9">
        <v>5.3377442748702446</v>
      </c>
      <c r="L45" s="9">
        <v>221.34486324784748</v>
      </c>
      <c r="M45" s="9">
        <v>6.4236108320950196</v>
      </c>
      <c r="N45" s="9">
        <v>1.9288890626096189</v>
      </c>
      <c r="O45" s="9">
        <v>0.1832444609479138</v>
      </c>
      <c r="P45" s="9">
        <v>0.46621243670962548</v>
      </c>
      <c r="Q45" s="9">
        <v>6.9931865506443813E-2</v>
      </c>
      <c r="R45" s="9">
        <v>3.2984002970624482E-2</v>
      </c>
      <c r="S45" s="9">
        <v>2.3310621835481276</v>
      </c>
      <c r="T45" s="9">
        <v>230.38927232702579</v>
      </c>
      <c r="U45" s="9">
        <v>669.3966385114868</v>
      </c>
      <c r="V45" s="9">
        <v>0.70000000000000007</v>
      </c>
      <c r="W45" s="9">
        <v>6.4236108320950194E-4</v>
      </c>
      <c r="X45" s="9">
        <v>9.4901329659644439E-3</v>
      </c>
      <c r="Y45" s="9">
        <v>0.10812154302154176</v>
      </c>
      <c r="Z45" s="9">
        <v>0.08</v>
      </c>
      <c r="AA45" s="9">
        <v>1.9288890626096189E-4</v>
      </c>
      <c r="AB45" s="9">
        <v>2.1453697378261824E-3</v>
      </c>
      <c r="AC45" s="10">
        <v>2.5442826403798136E-2</v>
      </c>
    </row>
    <row r="46" spans="1:31" x14ac:dyDescent="0.2">
      <c r="A46" s="6"/>
      <c r="B46" s="8">
        <v>34</v>
      </c>
      <c r="C46" s="9">
        <v>4.0000000000000001E-3</v>
      </c>
      <c r="D46" s="9">
        <v>6.9999999999999999E-4</v>
      </c>
      <c r="E46" s="9">
        <v>9.1765869029928631</v>
      </c>
      <c r="F46" s="9">
        <v>3.0954882906284031</v>
      </c>
      <c r="G46" s="9">
        <v>5.4830106745382357E-2</v>
      </c>
      <c r="H46" s="9">
        <v>3.0406581838830209</v>
      </c>
      <c r="I46" s="9">
        <v>669.3966385114868</v>
      </c>
      <c r="J46" s="9">
        <v>72.739999999999938</v>
      </c>
      <c r="K46" s="9">
        <v>3.9768276422425792</v>
      </c>
      <c r="L46" s="9">
        <v>220.53893807703534</v>
      </c>
      <c r="M46" s="9">
        <v>2.4543714876439369</v>
      </c>
      <c r="N46" s="9">
        <v>1.4811782225698771</v>
      </c>
      <c r="O46" s="9">
        <v>0.14071193114413832</v>
      </c>
      <c r="P46" s="9">
        <v>0.45394027441384366</v>
      </c>
      <c r="Q46" s="9">
        <v>6.8091041162076538E-2</v>
      </c>
      <c r="R46" s="9">
        <v>2.5328147605944897E-2</v>
      </c>
      <c r="S46" s="9">
        <v>2.2697013720692185</v>
      </c>
      <c r="T46" s="9">
        <v>224.2937883028149</v>
      </c>
      <c r="U46" s="9">
        <v>444.92215072423767</v>
      </c>
      <c r="V46" s="9">
        <v>0.4</v>
      </c>
      <c r="W46" s="9">
        <v>2.454371487643937E-4</v>
      </c>
      <c r="X46" s="9">
        <v>5.475829001844539E-3</v>
      </c>
      <c r="Y46" s="9">
        <v>6.3766638479434534E-2</v>
      </c>
      <c r="Z46" s="9">
        <v>6.9999999999999993E-2</v>
      </c>
      <c r="AA46" s="9">
        <v>1.481178222569877E-4</v>
      </c>
      <c r="AB46" s="9">
        <v>2.2127063946175765E-3</v>
      </c>
      <c r="AC46" s="10">
        <v>2.6231707702748186E-2</v>
      </c>
    </row>
    <row r="47" spans="1:31" x14ac:dyDescent="0.2">
      <c r="A47" s="6"/>
      <c r="B47" s="8">
        <v>35</v>
      </c>
      <c r="C47" s="9">
        <v>0.01</v>
      </c>
      <c r="D47" s="9">
        <v>6.9999999999999999E-4</v>
      </c>
      <c r="E47" s="9">
        <v>6.1359287191097751</v>
      </c>
      <c r="F47" s="9">
        <v>3.0954882906284031</v>
      </c>
      <c r="G47" s="9">
        <v>3.6662174096680905E-2</v>
      </c>
      <c r="H47" s="9">
        <v>3.0588261165317223</v>
      </c>
      <c r="I47" s="9">
        <v>444.92215072423767</v>
      </c>
      <c r="J47" s="9">
        <v>72.269999999999939</v>
      </c>
      <c r="K47" s="9">
        <v>2.6444426175935916</v>
      </c>
      <c r="L47" s="9">
        <v>220.63312778543295</v>
      </c>
      <c r="M47" s="9">
        <v>3.0771026025780528</v>
      </c>
      <c r="N47" s="9">
        <v>1.273344082105744</v>
      </c>
      <c r="O47" s="9">
        <v>0.12096768780004569</v>
      </c>
      <c r="P47" s="9">
        <v>0.45270934601120921</v>
      </c>
      <c r="Q47" s="9">
        <v>6.7906401901681374E-2</v>
      </c>
      <c r="R47" s="9">
        <v>2.1774183804008224E-2</v>
      </c>
      <c r="S47" s="9">
        <v>2.2635467300560461</v>
      </c>
      <c r="T47" s="9">
        <v>223.66970403163168</v>
      </c>
      <c r="U47" s="9">
        <v>219.93857625412093</v>
      </c>
      <c r="V47" s="9">
        <v>1</v>
      </c>
      <c r="W47" s="9">
        <v>3.0771026025780526E-4</v>
      </c>
      <c r="X47" s="9">
        <v>1.3745607883952682E-2</v>
      </c>
      <c r="Y47" s="9">
        <v>0.15303121769186945</v>
      </c>
      <c r="Z47" s="9">
        <v>6.9999999999999993E-2</v>
      </c>
      <c r="AA47" s="9">
        <v>1.2733440821057439E-4</v>
      </c>
      <c r="AB47" s="9">
        <v>2.8619480509860283E-3</v>
      </c>
      <c r="AC47" s="10">
        <v>3.3807911404105551E-2</v>
      </c>
    </row>
    <row r="48" spans="1:31" x14ac:dyDescent="0.2">
      <c r="A48" s="6"/>
      <c r="B48" s="8">
        <v>36</v>
      </c>
      <c r="C48" s="9">
        <v>4.0000000000000001E-3</v>
      </c>
      <c r="D48" s="9">
        <v>6.9999999999999999E-4</v>
      </c>
      <c r="E48" s="9">
        <v>3.0771026025780741</v>
      </c>
      <c r="F48" s="9">
        <v>3.0954882906284031</v>
      </c>
      <c r="G48" s="9">
        <v>1.8385688050403994E-2</v>
      </c>
      <c r="H48" s="9">
        <v>3.0771026025779991</v>
      </c>
      <c r="I48" s="9">
        <v>219.93857625412093</v>
      </c>
      <c r="J48" s="9">
        <v>71.199999999999946</v>
      </c>
      <c r="K48" s="9">
        <v>1.3077739910252353</v>
      </c>
      <c r="L48" s="9">
        <v>218.87430812137293</v>
      </c>
      <c r="M48" s="9">
        <v>3.0020430585864237E-14</v>
      </c>
      <c r="N48" s="9">
        <v>1.0642681326523367</v>
      </c>
      <c r="O48" s="9">
        <v>0.10110547260197199</v>
      </c>
      <c r="P48" s="9">
        <v>0.44036416422479641</v>
      </c>
      <c r="Q48" s="9">
        <v>6.6054624633719458E-2</v>
      </c>
      <c r="R48" s="9">
        <v>1.8198985068354958E-2</v>
      </c>
      <c r="S48" s="9">
        <v>2.2018208211239823</v>
      </c>
      <c r="T48" s="9">
        <v>217.55674898994931</v>
      </c>
      <c r="U48" s="9">
        <v>9.5637453512154022E-11</v>
      </c>
      <c r="V48" s="9">
        <v>0.4</v>
      </c>
      <c r="W48" s="9">
        <v>3.0020430585864238E-18</v>
      </c>
      <c r="X48" s="9">
        <v>3.5365128899501094E-14</v>
      </c>
      <c r="Y48" s="9">
        <v>4.2499337382650992E-13</v>
      </c>
      <c r="Z48" s="9">
        <v>6.9999999999999993E-2</v>
      </c>
      <c r="AA48" s="9">
        <v>1.0642681326523367E-4</v>
      </c>
      <c r="AB48" s="9">
        <v>4.8389334457756171E-3</v>
      </c>
      <c r="AC48" s="10">
        <v>5.6546450860217701E-2</v>
      </c>
    </row>
    <row r="49" spans="2:29" x14ac:dyDescent="0.2">
      <c r="B49" s="8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10"/>
    </row>
    <row r="50" spans="2:29" x14ac:dyDescent="0.2">
      <c r="B50" s="8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10"/>
    </row>
    <row r="51" spans="2:29" x14ac:dyDescent="0.2">
      <c r="B51" s="8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10"/>
    </row>
    <row r="52" spans="2:29" x14ac:dyDescent="0.2">
      <c r="B52" s="8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10"/>
    </row>
    <row r="53" spans="2:29" x14ac:dyDescent="0.2">
      <c r="B53" s="8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10"/>
    </row>
    <row r="54" spans="2:29" x14ac:dyDescent="0.2">
      <c r="B54" s="8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10"/>
    </row>
    <row r="55" spans="2:29" x14ac:dyDescent="0.2">
      <c r="B55" s="8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10"/>
    </row>
    <row r="56" spans="2:29" x14ac:dyDescent="0.2">
      <c r="B56" s="8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10"/>
    </row>
    <row r="57" spans="2:29" x14ac:dyDescent="0.2">
      <c r="B57" s="8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10"/>
    </row>
    <row r="58" spans="2:29" x14ac:dyDescent="0.2">
      <c r="B58" s="8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10"/>
    </row>
    <row r="59" spans="2:29" x14ac:dyDescent="0.2">
      <c r="B59" s="8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10"/>
    </row>
    <row r="60" spans="2:29" x14ac:dyDescent="0.2">
      <c r="B60" s="8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10"/>
    </row>
    <row r="61" spans="2:29" x14ac:dyDescent="0.2">
      <c r="B61" s="8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10"/>
    </row>
    <row r="62" spans="2:29" x14ac:dyDescent="0.2">
      <c r="B62" s="8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10"/>
    </row>
    <row r="63" spans="2:29" x14ac:dyDescent="0.2">
      <c r="B63" s="8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10"/>
    </row>
    <row r="64" spans="2:29" x14ac:dyDescent="0.2">
      <c r="B64" s="8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10"/>
    </row>
    <row r="65" spans="2:29" x14ac:dyDescent="0.2">
      <c r="B65" s="8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10"/>
    </row>
    <row r="66" spans="2:29" x14ac:dyDescent="0.2">
      <c r="B66" s="8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10"/>
    </row>
    <row r="67" spans="2:29" x14ac:dyDescent="0.2">
      <c r="B67" s="8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10"/>
    </row>
    <row r="68" spans="2:29" x14ac:dyDescent="0.2">
      <c r="B68" s="8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10"/>
    </row>
    <row r="69" spans="2:29" x14ac:dyDescent="0.2">
      <c r="B69" s="8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10"/>
    </row>
    <row r="70" spans="2:29" x14ac:dyDescent="0.2">
      <c r="B70" s="8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10"/>
    </row>
    <row r="71" spans="2:29" x14ac:dyDescent="0.2">
      <c r="B71" s="8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10"/>
    </row>
    <row r="72" spans="2:29" ht="17" thickBot="1" x14ac:dyDescent="0.25"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3"/>
    </row>
    <row r="176" spans="14:14" x14ac:dyDescent="0.2">
      <c r="N176" s="63">
        <v>1000000000</v>
      </c>
    </row>
    <row r="177" spans="14:14" x14ac:dyDescent="0.2">
      <c r="N177" s="63">
        <f>N176/60</f>
        <v>16666666.666666666</v>
      </c>
    </row>
  </sheetData>
  <mergeCells count="12">
    <mergeCell ref="L3:Q3"/>
    <mergeCell ref="L9:Q9"/>
    <mergeCell ref="L8:Q8"/>
    <mergeCell ref="L7:Q7"/>
    <mergeCell ref="L6:Q6"/>
    <mergeCell ref="L5:Q5"/>
    <mergeCell ref="L4:Q4"/>
    <mergeCell ref="V8:W8"/>
    <mergeCell ref="V7:W7"/>
    <mergeCell ref="V6:W6"/>
    <mergeCell ref="V5:W5"/>
    <mergeCell ref="V4:W4"/>
  </mergeCells>
  <dataValidations count="1">
    <dataValidation type="list" allowBlank="1" showInputMessage="1" showErrorMessage="1" sqref="D3">
      <formula1>$A$3:$A$6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autoFill="0" autoPict="0" macro="[0]!Yield.YIELD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863600</xdr:colOff>
                    <xdr:row>8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rates'!$C$2:$C$7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3"/>
  <sheetViews>
    <sheetView workbookViewId="0">
      <selection activeCell="D1" sqref="D1:E13"/>
    </sheetView>
  </sheetViews>
  <sheetFormatPr baseColWidth="10" defaultRowHeight="16" x14ac:dyDescent="0.2"/>
  <cols>
    <col min="4" max="4" width="13.5" bestFit="1" customWidth="1"/>
    <col min="6" max="6" width="15.33203125" bestFit="1" customWidth="1"/>
    <col min="7" max="7" width="17.5" bestFit="1" customWidth="1"/>
  </cols>
  <sheetData>
    <row r="1" spans="1:7" ht="17" thickBot="1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</row>
    <row r="2" spans="1:7" x14ac:dyDescent="0.2">
      <c r="A2" s="46" t="s">
        <v>54</v>
      </c>
      <c r="B2" s="46">
        <v>36</v>
      </c>
      <c r="C2" s="46" t="s">
        <v>50</v>
      </c>
      <c r="D2" s="46">
        <v>7.17E-2</v>
      </c>
      <c r="E2" s="46">
        <v>0.152</v>
      </c>
      <c r="F2" s="46">
        <v>1</v>
      </c>
      <c r="G2" s="46">
        <v>1</v>
      </c>
    </row>
    <row r="3" spans="1:7" x14ac:dyDescent="0.2">
      <c r="A3" s="46" t="s">
        <v>54</v>
      </c>
      <c r="B3" s="46">
        <v>36</v>
      </c>
      <c r="C3" s="46" t="s">
        <v>51</v>
      </c>
      <c r="D3" s="46">
        <v>0.1067</v>
      </c>
      <c r="E3" s="46">
        <v>0.26779999999999998</v>
      </c>
      <c r="F3" s="46">
        <v>1</v>
      </c>
      <c r="G3" s="46">
        <v>1</v>
      </c>
    </row>
    <row r="4" spans="1:7" x14ac:dyDescent="0.2">
      <c r="A4" s="46" t="s">
        <v>54</v>
      </c>
      <c r="B4" s="46">
        <v>36</v>
      </c>
      <c r="C4" s="46" t="s">
        <v>19</v>
      </c>
      <c r="D4" s="46">
        <v>0.1394</v>
      </c>
      <c r="E4" s="46">
        <v>0.36309999999999998</v>
      </c>
      <c r="F4" s="46">
        <v>1</v>
      </c>
      <c r="G4" s="46">
        <v>1</v>
      </c>
    </row>
    <row r="5" spans="1:7" x14ac:dyDescent="0.2">
      <c r="A5" s="46" t="s">
        <v>54</v>
      </c>
      <c r="B5" s="46">
        <v>36</v>
      </c>
      <c r="C5" s="46" t="s">
        <v>52</v>
      </c>
      <c r="D5" s="46">
        <v>0.17249999999999999</v>
      </c>
      <c r="E5" s="46">
        <v>0.12909999999999999</v>
      </c>
      <c r="F5" s="46">
        <v>1</v>
      </c>
      <c r="G5" s="46">
        <v>1</v>
      </c>
    </row>
    <row r="6" spans="1:7" x14ac:dyDescent="0.2">
      <c r="A6" s="46" t="s">
        <v>54</v>
      </c>
      <c r="B6" s="46">
        <v>36</v>
      </c>
      <c r="C6" s="46" t="s">
        <v>53</v>
      </c>
      <c r="D6" s="46">
        <v>0.20039999999999999</v>
      </c>
      <c r="E6" s="46">
        <v>5.7200000000000001E-2</v>
      </c>
      <c r="F6" s="46">
        <v>1</v>
      </c>
      <c r="G6" s="46">
        <v>1</v>
      </c>
    </row>
    <row r="7" spans="1:7" x14ac:dyDescent="0.2">
      <c r="A7" s="46" t="s">
        <v>54</v>
      </c>
      <c r="B7" s="46">
        <v>36</v>
      </c>
      <c r="C7" s="46" t="s">
        <v>103</v>
      </c>
      <c r="D7" s="46">
        <v>0.24160000000000001</v>
      </c>
      <c r="E7" s="46">
        <v>3.080000000000005E-2</v>
      </c>
      <c r="F7" s="46">
        <v>1</v>
      </c>
      <c r="G7" s="46">
        <v>1</v>
      </c>
    </row>
    <row r="8" spans="1:7" x14ac:dyDescent="0.2">
      <c r="A8" s="46" t="s">
        <v>54</v>
      </c>
      <c r="B8" s="46">
        <v>60</v>
      </c>
      <c r="C8" s="46" t="s">
        <v>50</v>
      </c>
      <c r="D8" s="46">
        <f>D2+0.02</f>
        <v>9.1700000000000004E-2</v>
      </c>
      <c r="E8" s="46">
        <v>0.152</v>
      </c>
      <c r="F8" s="46">
        <v>1</v>
      </c>
      <c r="G8" s="46">
        <v>1</v>
      </c>
    </row>
    <row r="9" spans="1:7" x14ac:dyDescent="0.2">
      <c r="A9" s="46" t="s">
        <v>54</v>
      </c>
      <c r="B9" s="46">
        <v>60</v>
      </c>
      <c r="C9" s="46" t="s">
        <v>51</v>
      </c>
      <c r="D9" s="46">
        <f t="shared" ref="D9:D13" si="0">D3+0.02</f>
        <v>0.12670000000000001</v>
      </c>
      <c r="E9" s="46">
        <v>0.26779999999999998</v>
      </c>
      <c r="F9" s="46">
        <v>1</v>
      </c>
      <c r="G9" s="46">
        <v>1</v>
      </c>
    </row>
    <row r="10" spans="1:7" x14ac:dyDescent="0.2">
      <c r="A10" s="46" t="s">
        <v>54</v>
      </c>
      <c r="B10" s="46">
        <v>60</v>
      </c>
      <c r="C10" s="46" t="s">
        <v>19</v>
      </c>
      <c r="D10" s="46">
        <f t="shared" si="0"/>
        <v>0.15939999999999999</v>
      </c>
      <c r="E10" s="46">
        <v>0.36309999999999998</v>
      </c>
      <c r="F10" s="46">
        <v>1</v>
      </c>
      <c r="G10" s="46">
        <v>1</v>
      </c>
    </row>
    <row r="11" spans="1:7" x14ac:dyDescent="0.2">
      <c r="A11" s="46" t="s">
        <v>54</v>
      </c>
      <c r="B11" s="46">
        <v>60</v>
      </c>
      <c r="C11" s="46" t="s">
        <v>52</v>
      </c>
      <c r="D11" s="46">
        <f t="shared" si="0"/>
        <v>0.19249999999999998</v>
      </c>
      <c r="E11" s="46">
        <v>0.12909999999999999</v>
      </c>
      <c r="F11" s="46">
        <v>1</v>
      </c>
      <c r="G11" s="46">
        <v>1</v>
      </c>
    </row>
    <row r="12" spans="1:7" x14ac:dyDescent="0.2">
      <c r="A12" s="46" t="s">
        <v>54</v>
      </c>
      <c r="B12" s="46">
        <v>60</v>
      </c>
      <c r="C12" s="46" t="s">
        <v>53</v>
      </c>
      <c r="D12" s="46">
        <v>0.25819999999999999</v>
      </c>
      <c r="E12" s="46">
        <v>5.7200000000000001E-2</v>
      </c>
      <c r="F12" s="46">
        <v>3.3</v>
      </c>
      <c r="G12" s="46">
        <v>1.3</v>
      </c>
    </row>
    <row r="13" spans="1:7" x14ac:dyDescent="0.2">
      <c r="A13" s="46" t="s">
        <v>54</v>
      </c>
      <c r="B13" s="46">
        <v>60</v>
      </c>
      <c r="C13" s="46" t="s">
        <v>103</v>
      </c>
      <c r="D13" s="46">
        <f t="shared" si="0"/>
        <v>0.2616</v>
      </c>
      <c r="E13" s="46">
        <v>3.080000000000005E-2</v>
      </c>
      <c r="F13" s="46">
        <v>1</v>
      </c>
      <c r="G13" s="4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 enableFormatConditionsCalculation="0"/>
  <dimension ref="A1:E577"/>
  <sheetViews>
    <sheetView topLeftCell="A118" workbookViewId="0">
      <selection activeCell="D98" sqref="D98:D133"/>
    </sheetView>
  </sheetViews>
  <sheetFormatPr baseColWidth="10" defaultRowHeight="16" x14ac:dyDescent="0.2"/>
  <cols>
    <col min="3" max="3" width="9.5" customWidth="1"/>
    <col min="4" max="4" width="13.5" bestFit="1" customWidth="1"/>
    <col min="5" max="5" width="8.33203125" bestFit="1" customWidth="1"/>
    <col min="6" max="6" width="15.33203125" bestFit="1" customWidth="1"/>
  </cols>
  <sheetData>
    <row r="1" spans="1:5" x14ac:dyDescent="0.2">
      <c r="A1" s="1" t="s">
        <v>1</v>
      </c>
      <c r="B1" t="s">
        <v>2</v>
      </c>
      <c r="C1" t="s">
        <v>7</v>
      </c>
      <c r="D1" t="s">
        <v>8</v>
      </c>
      <c r="E1" t="s">
        <v>9</v>
      </c>
    </row>
    <row r="2" spans="1:5" hidden="1" x14ac:dyDescent="0.2">
      <c r="A2">
        <v>36</v>
      </c>
      <c r="B2" t="s">
        <v>19</v>
      </c>
      <c r="C2">
        <v>1</v>
      </c>
      <c r="D2">
        <v>0</v>
      </c>
      <c r="E2">
        <v>8.0000000000000002E-3</v>
      </c>
    </row>
    <row r="3" spans="1:5" hidden="1" x14ac:dyDescent="0.2">
      <c r="A3">
        <v>36</v>
      </c>
      <c r="B3" t="s">
        <v>19</v>
      </c>
      <c r="C3">
        <v>2</v>
      </c>
      <c r="D3">
        <v>0</v>
      </c>
      <c r="E3">
        <v>0.01</v>
      </c>
    </row>
    <row r="4" spans="1:5" hidden="1" x14ac:dyDescent="0.2">
      <c r="A4">
        <v>36</v>
      </c>
      <c r="B4" t="s">
        <v>19</v>
      </c>
      <c r="C4">
        <v>3</v>
      </c>
      <c r="D4">
        <v>0</v>
      </c>
      <c r="E4">
        <v>8.0000000000000002E-3</v>
      </c>
    </row>
    <row r="5" spans="1:5" hidden="1" x14ac:dyDescent="0.2">
      <c r="A5">
        <v>36</v>
      </c>
      <c r="B5" t="s">
        <v>19</v>
      </c>
      <c r="C5">
        <v>4</v>
      </c>
      <c r="D5">
        <v>0</v>
      </c>
      <c r="E5">
        <v>8.0000000000000002E-3</v>
      </c>
    </row>
    <row r="6" spans="1:5" hidden="1" x14ac:dyDescent="0.2">
      <c r="A6">
        <v>36</v>
      </c>
      <c r="B6" t="s">
        <v>19</v>
      </c>
      <c r="C6">
        <v>5</v>
      </c>
      <c r="D6">
        <v>4.1787999999999998E-4</v>
      </c>
      <c r="E6">
        <v>0.01</v>
      </c>
    </row>
    <row r="7" spans="1:5" hidden="1" x14ac:dyDescent="0.2">
      <c r="A7">
        <v>36</v>
      </c>
      <c r="B7" t="s">
        <v>19</v>
      </c>
      <c r="C7">
        <v>6</v>
      </c>
      <c r="D7">
        <v>2.31979E-3</v>
      </c>
      <c r="E7">
        <v>4.0000000000000001E-3</v>
      </c>
    </row>
    <row r="8" spans="1:5" hidden="1" x14ac:dyDescent="0.2">
      <c r="A8">
        <v>36</v>
      </c>
      <c r="B8" t="s">
        <v>19</v>
      </c>
      <c r="C8">
        <v>7</v>
      </c>
      <c r="D8">
        <v>4.0318999999999997E-3</v>
      </c>
      <c r="E8">
        <v>5.0000000000000001E-3</v>
      </c>
    </row>
    <row r="9" spans="1:5" hidden="1" x14ac:dyDescent="0.2">
      <c r="A9">
        <v>36</v>
      </c>
      <c r="B9" t="s">
        <v>19</v>
      </c>
      <c r="C9">
        <v>8</v>
      </c>
      <c r="D9">
        <v>5.0269200000000007E-3</v>
      </c>
      <c r="E9">
        <v>7.0000000000000001E-3</v>
      </c>
    </row>
    <row r="10" spans="1:5" hidden="1" x14ac:dyDescent="0.2">
      <c r="A10">
        <v>36</v>
      </c>
      <c r="B10" t="s">
        <v>19</v>
      </c>
      <c r="C10">
        <v>9</v>
      </c>
      <c r="D10">
        <v>5.4389200000000007E-3</v>
      </c>
      <c r="E10">
        <v>5.0000000000000001E-3</v>
      </c>
    </row>
    <row r="11" spans="1:5" hidden="1" x14ac:dyDescent="0.2">
      <c r="A11">
        <v>36</v>
      </c>
      <c r="B11" t="s">
        <v>19</v>
      </c>
      <c r="C11">
        <v>10</v>
      </c>
      <c r="D11">
        <v>5.47365E-3</v>
      </c>
      <c r="E11">
        <v>8.0000000000000002E-3</v>
      </c>
    </row>
    <row r="12" spans="1:5" hidden="1" x14ac:dyDescent="0.2">
      <c r="A12">
        <v>36</v>
      </c>
      <c r="B12" t="s">
        <v>19</v>
      </c>
      <c r="C12">
        <v>11</v>
      </c>
      <c r="D12">
        <v>5.2878400000000002E-3</v>
      </c>
      <c r="E12">
        <v>6.0000000000000001E-3</v>
      </c>
    </row>
    <row r="13" spans="1:5" hidden="1" x14ac:dyDescent="0.2">
      <c r="A13">
        <v>36</v>
      </c>
      <c r="B13" t="s">
        <v>19</v>
      </c>
      <c r="C13">
        <v>12</v>
      </c>
      <c r="D13">
        <v>4.9843600000000002E-3</v>
      </c>
      <c r="E13">
        <v>5.0000000000000001E-3</v>
      </c>
    </row>
    <row r="14" spans="1:5" hidden="1" x14ac:dyDescent="0.2">
      <c r="A14">
        <v>36</v>
      </c>
      <c r="B14" t="s">
        <v>19</v>
      </c>
      <c r="C14">
        <v>13</v>
      </c>
      <c r="D14">
        <v>4.6268500000000001E-3</v>
      </c>
      <c r="E14">
        <v>8.0000000000000002E-3</v>
      </c>
    </row>
    <row r="15" spans="1:5" hidden="1" x14ac:dyDescent="0.2">
      <c r="A15">
        <v>36</v>
      </c>
      <c r="B15" t="s">
        <v>19</v>
      </c>
      <c r="C15">
        <v>14</v>
      </c>
      <c r="D15">
        <v>4.2533600000000003E-3</v>
      </c>
      <c r="E15">
        <v>5.0000000000000001E-3</v>
      </c>
    </row>
    <row r="16" spans="1:5" hidden="1" x14ac:dyDescent="0.2">
      <c r="A16">
        <v>36</v>
      </c>
      <c r="B16" t="s">
        <v>19</v>
      </c>
      <c r="C16">
        <v>15</v>
      </c>
      <c r="D16">
        <v>3.88581E-3</v>
      </c>
      <c r="E16">
        <v>7.0000000000000001E-3</v>
      </c>
    </row>
    <row r="17" spans="1:5" hidden="1" x14ac:dyDescent="0.2">
      <c r="A17">
        <v>36</v>
      </c>
      <c r="B17" t="s">
        <v>19</v>
      </c>
      <c r="C17">
        <v>16</v>
      </c>
      <c r="D17">
        <v>3.5362200000000001E-3</v>
      </c>
      <c r="E17">
        <v>5.0000000000000001E-3</v>
      </c>
    </row>
    <row r="18" spans="1:5" hidden="1" x14ac:dyDescent="0.2">
      <c r="A18">
        <v>36</v>
      </c>
      <c r="B18" t="s">
        <v>19</v>
      </c>
      <c r="C18">
        <v>17</v>
      </c>
      <c r="D18">
        <v>3.2105800000000002E-3</v>
      </c>
      <c r="E18">
        <v>4.0000000000000001E-3</v>
      </c>
    </row>
    <row r="19" spans="1:5" hidden="1" x14ac:dyDescent="0.2">
      <c r="A19">
        <v>36</v>
      </c>
      <c r="B19" t="s">
        <v>19</v>
      </c>
      <c r="C19">
        <v>18</v>
      </c>
      <c r="D19">
        <v>2.9112500000000002E-3</v>
      </c>
      <c r="E19">
        <v>8.9999999999999993E-3</v>
      </c>
    </row>
    <row r="20" spans="1:5" hidden="1" x14ac:dyDescent="0.2">
      <c r="A20">
        <v>36</v>
      </c>
      <c r="B20" t="s">
        <v>19</v>
      </c>
      <c r="C20">
        <v>19</v>
      </c>
      <c r="D20">
        <v>2.6384800000000003E-3</v>
      </c>
      <c r="E20">
        <v>4.0000000000000001E-3</v>
      </c>
    </row>
    <row r="21" spans="1:5" hidden="1" x14ac:dyDescent="0.2">
      <c r="A21">
        <v>36</v>
      </c>
      <c r="B21" t="s">
        <v>19</v>
      </c>
      <c r="C21">
        <v>20</v>
      </c>
      <c r="D21">
        <v>2.3913200000000002E-3</v>
      </c>
      <c r="E21">
        <v>8.0000000000000002E-3</v>
      </c>
    </row>
    <row r="22" spans="1:5" hidden="1" x14ac:dyDescent="0.2">
      <c r="A22">
        <v>36</v>
      </c>
      <c r="B22" t="s">
        <v>19</v>
      </c>
      <c r="C22">
        <v>21</v>
      </c>
      <c r="D22">
        <v>2.16818E-3</v>
      </c>
      <c r="E22">
        <v>7.0000000000000001E-3</v>
      </c>
    </row>
    <row r="23" spans="1:5" hidden="1" x14ac:dyDescent="0.2">
      <c r="A23">
        <v>36</v>
      </c>
      <c r="B23" t="s">
        <v>19</v>
      </c>
      <c r="C23">
        <v>22</v>
      </c>
      <c r="D23">
        <v>1.9671800000000002E-3</v>
      </c>
      <c r="E23">
        <v>5.0000000000000001E-3</v>
      </c>
    </row>
    <row r="24" spans="1:5" hidden="1" x14ac:dyDescent="0.2">
      <c r="A24">
        <v>36</v>
      </c>
      <c r="B24" t="s">
        <v>19</v>
      </c>
      <c r="C24">
        <v>23</v>
      </c>
      <c r="D24">
        <v>1.78634E-3</v>
      </c>
      <c r="E24">
        <v>6.0000000000000001E-3</v>
      </c>
    </row>
    <row r="25" spans="1:5" hidden="1" x14ac:dyDescent="0.2">
      <c r="A25">
        <v>36</v>
      </c>
      <c r="B25" t="s">
        <v>19</v>
      </c>
      <c r="C25">
        <v>24</v>
      </c>
      <c r="D25">
        <v>1.62375E-3</v>
      </c>
      <c r="E25">
        <v>0.01</v>
      </c>
    </row>
    <row r="26" spans="1:5" hidden="1" x14ac:dyDescent="0.2">
      <c r="A26">
        <v>36</v>
      </c>
      <c r="B26" t="s">
        <v>19</v>
      </c>
      <c r="C26">
        <v>25</v>
      </c>
      <c r="D26">
        <v>1.4775599999999999E-3</v>
      </c>
      <c r="E26">
        <v>0.01</v>
      </c>
    </row>
    <row r="27" spans="1:5" hidden="1" x14ac:dyDescent="0.2">
      <c r="A27">
        <v>36</v>
      </c>
      <c r="B27" t="s">
        <v>19</v>
      </c>
      <c r="C27">
        <v>26</v>
      </c>
      <c r="D27">
        <v>1.3460900000000001E-3</v>
      </c>
      <c r="E27">
        <v>5.0000000000000001E-3</v>
      </c>
    </row>
    <row r="28" spans="1:5" hidden="1" x14ac:dyDescent="0.2">
      <c r="A28">
        <v>36</v>
      </c>
      <c r="B28" t="s">
        <v>19</v>
      </c>
      <c r="C28">
        <v>27</v>
      </c>
      <c r="D28">
        <v>1.2277799999999999E-3</v>
      </c>
      <c r="E28">
        <v>8.9999999999999993E-3</v>
      </c>
    </row>
    <row r="29" spans="1:5" hidden="1" x14ac:dyDescent="0.2">
      <c r="A29">
        <v>36</v>
      </c>
      <c r="B29" t="s">
        <v>19</v>
      </c>
      <c r="C29">
        <v>28</v>
      </c>
      <c r="D29">
        <v>1.12123E-3</v>
      </c>
      <c r="E29">
        <v>4.0000000000000001E-3</v>
      </c>
    </row>
    <row r="30" spans="1:5" hidden="1" x14ac:dyDescent="0.2">
      <c r="A30">
        <v>36</v>
      </c>
      <c r="B30" t="s">
        <v>19</v>
      </c>
      <c r="C30">
        <v>29</v>
      </c>
      <c r="D30">
        <v>1.0251799999999999E-3</v>
      </c>
      <c r="E30">
        <v>7.0000000000000001E-3</v>
      </c>
    </row>
    <row r="31" spans="1:5" hidden="1" x14ac:dyDescent="0.2">
      <c r="A31">
        <v>36</v>
      </c>
      <c r="B31" t="s">
        <v>19</v>
      </c>
      <c r="C31">
        <v>30</v>
      </c>
      <c r="D31">
        <v>9.3851000000000004E-4</v>
      </c>
      <c r="E31">
        <v>4.0000000000000001E-3</v>
      </c>
    </row>
    <row r="32" spans="1:5" hidden="1" x14ac:dyDescent="0.2">
      <c r="A32">
        <v>36</v>
      </c>
      <c r="B32" t="s">
        <v>19</v>
      </c>
      <c r="C32">
        <v>31</v>
      </c>
      <c r="D32">
        <v>8.6021999999999997E-4</v>
      </c>
      <c r="E32">
        <v>0.01</v>
      </c>
    </row>
    <row r="33" spans="1:5" hidden="1" x14ac:dyDescent="0.2">
      <c r="A33">
        <v>36</v>
      </c>
      <c r="B33" t="s">
        <v>19</v>
      </c>
      <c r="C33">
        <v>32</v>
      </c>
      <c r="D33">
        <v>7.8940999999999994E-4</v>
      </c>
      <c r="E33">
        <v>4.0000000000000001E-3</v>
      </c>
    </row>
    <row r="34" spans="1:5" hidden="1" x14ac:dyDescent="0.2">
      <c r="A34">
        <v>36</v>
      </c>
      <c r="B34" t="s">
        <v>19</v>
      </c>
      <c r="C34">
        <v>33</v>
      </c>
      <c r="D34">
        <v>7.2528999999999996E-4</v>
      </c>
      <c r="E34">
        <v>8.0000000000000002E-3</v>
      </c>
    </row>
    <row r="35" spans="1:5" hidden="1" x14ac:dyDescent="0.2">
      <c r="A35">
        <v>36</v>
      </c>
      <c r="B35" t="s">
        <v>19</v>
      </c>
      <c r="C35">
        <v>34</v>
      </c>
      <c r="D35">
        <v>6.6715999999999998E-4</v>
      </c>
      <c r="E35">
        <v>8.9999999999999993E-3</v>
      </c>
    </row>
    <row r="36" spans="1:5" hidden="1" x14ac:dyDescent="0.2">
      <c r="A36">
        <v>36</v>
      </c>
      <c r="B36" t="s">
        <v>19</v>
      </c>
      <c r="C36">
        <v>35</v>
      </c>
      <c r="D36">
        <v>6.1439000000000003E-4</v>
      </c>
      <c r="E36">
        <v>6.0000000000000001E-3</v>
      </c>
    </row>
    <row r="37" spans="1:5" hidden="1" x14ac:dyDescent="0.2">
      <c r="A37">
        <v>36</v>
      </c>
      <c r="B37" t="s">
        <v>19</v>
      </c>
      <c r="C37">
        <v>36</v>
      </c>
      <c r="D37">
        <v>5.6643999999999998E-4</v>
      </c>
      <c r="E37">
        <v>6.0000000000000001E-3</v>
      </c>
    </row>
    <row r="38" spans="1:5" hidden="1" x14ac:dyDescent="0.2">
      <c r="A38">
        <v>60</v>
      </c>
      <c r="B38" t="s">
        <v>19</v>
      </c>
      <c r="C38">
        <v>1</v>
      </c>
      <c r="D38">
        <v>0</v>
      </c>
      <c r="E38">
        <v>8.0000000000000002E-3</v>
      </c>
    </row>
    <row r="39" spans="1:5" hidden="1" x14ac:dyDescent="0.2">
      <c r="A39">
        <v>60</v>
      </c>
      <c r="B39" t="s">
        <v>19</v>
      </c>
      <c r="C39">
        <f>C38+1</f>
        <v>2</v>
      </c>
      <c r="D39">
        <v>0</v>
      </c>
      <c r="E39">
        <v>0.01</v>
      </c>
    </row>
    <row r="40" spans="1:5" hidden="1" x14ac:dyDescent="0.2">
      <c r="A40">
        <v>60</v>
      </c>
      <c r="B40" t="s">
        <v>19</v>
      </c>
      <c r="C40">
        <f t="shared" ref="C40:C97" si="0">C39+1</f>
        <v>3</v>
      </c>
      <c r="D40">
        <v>0</v>
      </c>
      <c r="E40">
        <v>8.0000000000000002E-3</v>
      </c>
    </row>
    <row r="41" spans="1:5" hidden="1" x14ac:dyDescent="0.2">
      <c r="A41">
        <v>60</v>
      </c>
      <c r="B41" t="s">
        <v>19</v>
      </c>
      <c r="C41">
        <f t="shared" si="0"/>
        <v>4</v>
      </c>
      <c r="D41">
        <v>0</v>
      </c>
      <c r="E41">
        <v>8.0000000000000002E-3</v>
      </c>
    </row>
    <row r="42" spans="1:5" hidden="1" x14ac:dyDescent="0.2">
      <c r="A42">
        <v>60</v>
      </c>
      <c r="B42" t="s">
        <v>19</v>
      </c>
      <c r="C42">
        <f t="shared" si="0"/>
        <v>5</v>
      </c>
      <c r="D42">
        <v>6.3E-7</v>
      </c>
      <c r="E42">
        <v>0.01</v>
      </c>
    </row>
    <row r="43" spans="1:5" hidden="1" x14ac:dyDescent="0.2">
      <c r="A43">
        <v>60</v>
      </c>
      <c r="B43" t="s">
        <v>19</v>
      </c>
      <c r="C43">
        <f t="shared" si="0"/>
        <v>6</v>
      </c>
      <c r="D43">
        <v>1.1692E-4</v>
      </c>
      <c r="E43">
        <v>4.0000000000000001E-3</v>
      </c>
    </row>
    <row r="44" spans="1:5" hidden="1" x14ac:dyDescent="0.2">
      <c r="A44">
        <v>60</v>
      </c>
      <c r="B44" t="s">
        <v>19</v>
      </c>
      <c r="C44">
        <f t="shared" si="0"/>
        <v>7</v>
      </c>
      <c r="D44">
        <v>6.5120999999999994E-4</v>
      </c>
      <c r="E44">
        <v>5.0000000000000001E-3</v>
      </c>
    </row>
    <row r="45" spans="1:5" hidden="1" x14ac:dyDescent="0.2">
      <c r="A45">
        <v>60</v>
      </c>
      <c r="B45" t="s">
        <v>19</v>
      </c>
      <c r="C45">
        <f t="shared" si="0"/>
        <v>8</v>
      </c>
      <c r="D45">
        <v>1.5460099999999998E-3</v>
      </c>
      <c r="E45">
        <v>7.0000000000000001E-3</v>
      </c>
    </row>
    <row r="46" spans="1:5" hidden="1" x14ac:dyDescent="0.2">
      <c r="A46">
        <v>60</v>
      </c>
      <c r="B46" t="s">
        <v>19</v>
      </c>
      <c r="C46">
        <f t="shared" si="0"/>
        <v>9</v>
      </c>
      <c r="D46">
        <v>2.5613200000000002E-3</v>
      </c>
      <c r="E46">
        <v>5.0000000000000001E-3</v>
      </c>
    </row>
    <row r="47" spans="1:5" hidden="1" x14ac:dyDescent="0.2">
      <c r="A47">
        <v>60</v>
      </c>
      <c r="B47" t="s">
        <v>19</v>
      </c>
      <c r="C47">
        <f t="shared" si="0"/>
        <v>10</v>
      </c>
      <c r="D47">
        <v>3.5122700000000001E-3</v>
      </c>
      <c r="E47">
        <v>8.0000000000000002E-3</v>
      </c>
    </row>
    <row r="48" spans="1:5" hidden="1" x14ac:dyDescent="0.2">
      <c r="A48">
        <v>60</v>
      </c>
      <c r="B48" t="s">
        <v>19</v>
      </c>
      <c r="C48">
        <f t="shared" si="0"/>
        <v>11</v>
      </c>
      <c r="D48">
        <v>4.3042799999999997E-3</v>
      </c>
      <c r="E48">
        <v>6.0000000000000001E-3</v>
      </c>
    </row>
    <row r="49" spans="1:5" hidden="1" x14ac:dyDescent="0.2">
      <c r="A49">
        <v>60</v>
      </c>
      <c r="B49" t="s">
        <v>19</v>
      </c>
      <c r="C49">
        <f t="shared" si="0"/>
        <v>12</v>
      </c>
      <c r="D49">
        <v>4.9069600000000001E-3</v>
      </c>
      <c r="E49">
        <v>5.0000000000000001E-3</v>
      </c>
    </row>
    <row r="50" spans="1:5" hidden="1" x14ac:dyDescent="0.2">
      <c r="A50">
        <v>60</v>
      </c>
      <c r="B50" t="s">
        <v>19</v>
      </c>
      <c r="C50">
        <f t="shared" si="0"/>
        <v>13</v>
      </c>
      <c r="D50">
        <v>5.3257600000000006E-3</v>
      </c>
      <c r="E50">
        <v>8.0000000000000002E-3</v>
      </c>
    </row>
    <row r="51" spans="1:5" hidden="1" x14ac:dyDescent="0.2">
      <c r="A51">
        <v>60</v>
      </c>
      <c r="B51" t="s">
        <v>19</v>
      </c>
      <c r="C51">
        <f t="shared" si="0"/>
        <v>14</v>
      </c>
      <c r="D51">
        <v>5.5826699999999996E-3</v>
      </c>
      <c r="E51">
        <v>5.0000000000000001E-3</v>
      </c>
    </row>
    <row r="52" spans="1:5" hidden="1" x14ac:dyDescent="0.2">
      <c r="A52">
        <v>60</v>
      </c>
      <c r="B52" t="s">
        <v>19</v>
      </c>
      <c r="C52">
        <f t="shared" si="0"/>
        <v>15</v>
      </c>
      <c r="D52">
        <v>5.7052499999999994E-3</v>
      </c>
      <c r="E52">
        <v>7.0000000000000001E-3</v>
      </c>
    </row>
    <row r="53" spans="1:5" hidden="1" x14ac:dyDescent="0.2">
      <c r="A53">
        <v>60</v>
      </c>
      <c r="B53" t="s">
        <v>19</v>
      </c>
      <c r="C53">
        <f t="shared" si="0"/>
        <v>16</v>
      </c>
      <c r="D53">
        <v>5.7208599999999995E-3</v>
      </c>
      <c r="E53">
        <v>5.0000000000000001E-3</v>
      </c>
    </row>
    <row r="54" spans="1:5" hidden="1" x14ac:dyDescent="0.2">
      <c r="A54">
        <v>60</v>
      </c>
      <c r="B54" t="s">
        <v>19</v>
      </c>
      <c r="C54">
        <f t="shared" si="0"/>
        <v>17</v>
      </c>
      <c r="D54">
        <v>5.6541200000000003E-3</v>
      </c>
      <c r="E54">
        <v>4.0000000000000001E-3</v>
      </c>
    </row>
    <row r="55" spans="1:5" hidden="1" x14ac:dyDescent="0.2">
      <c r="A55">
        <v>60</v>
      </c>
      <c r="B55" t="s">
        <v>19</v>
      </c>
      <c r="C55">
        <f t="shared" si="0"/>
        <v>18</v>
      </c>
      <c r="D55">
        <v>5.5259599999999999E-3</v>
      </c>
      <c r="E55">
        <v>8.9999999999999993E-3</v>
      </c>
    </row>
    <row r="56" spans="1:5" hidden="1" x14ac:dyDescent="0.2">
      <c r="A56">
        <v>60</v>
      </c>
      <c r="B56" t="s">
        <v>19</v>
      </c>
      <c r="C56">
        <f t="shared" si="0"/>
        <v>19</v>
      </c>
      <c r="D56">
        <v>5.3535900000000001E-3</v>
      </c>
      <c r="E56">
        <v>4.0000000000000001E-3</v>
      </c>
    </row>
    <row r="57" spans="1:5" hidden="1" x14ac:dyDescent="0.2">
      <c r="A57">
        <v>60</v>
      </c>
      <c r="B57" t="s">
        <v>19</v>
      </c>
      <c r="C57">
        <f t="shared" si="0"/>
        <v>20</v>
      </c>
      <c r="D57">
        <v>5.1508100000000005E-3</v>
      </c>
      <c r="E57">
        <v>8.0000000000000002E-3</v>
      </c>
    </row>
    <row r="58" spans="1:5" hidden="1" x14ac:dyDescent="0.2">
      <c r="A58">
        <v>60</v>
      </c>
      <c r="B58" t="s">
        <v>19</v>
      </c>
      <c r="C58">
        <f t="shared" si="0"/>
        <v>21</v>
      </c>
      <c r="D58">
        <v>4.92845E-3</v>
      </c>
      <c r="E58">
        <v>7.0000000000000001E-3</v>
      </c>
    </row>
    <row r="59" spans="1:5" hidden="1" x14ac:dyDescent="0.2">
      <c r="A59">
        <v>60</v>
      </c>
      <c r="B59" t="s">
        <v>19</v>
      </c>
      <c r="C59">
        <f t="shared" si="0"/>
        <v>22</v>
      </c>
      <c r="D59">
        <v>4.69492E-3</v>
      </c>
      <c r="E59">
        <v>5.0000000000000001E-3</v>
      </c>
    </row>
    <row r="60" spans="1:5" hidden="1" x14ac:dyDescent="0.2">
      <c r="A60">
        <v>60</v>
      </c>
      <c r="B60" t="s">
        <v>19</v>
      </c>
      <c r="C60">
        <f t="shared" si="0"/>
        <v>23</v>
      </c>
      <c r="D60">
        <v>4.4566199999999997E-3</v>
      </c>
      <c r="E60">
        <v>6.0000000000000001E-3</v>
      </c>
    </row>
    <row r="61" spans="1:5" hidden="1" x14ac:dyDescent="0.2">
      <c r="A61">
        <v>60</v>
      </c>
      <c r="B61" t="s">
        <v>19</v>
      </c>
      <c r="C61">
        <f t="shared" si="0"/>
        <v>24</v>
      </c>
      <c r="D61">
        <v>4.21836E-3</v>
      </c>
      <c r="E61">
        <v>0.01</v>
      </c>
    </row>
    <row r="62" spans="1:5" hidden="1" x14ac:dyDescent="0.2">
      <c r="A62">
        <v>60</v>
      </c>
      <c r="B62" t="s">
        <v>19</v>
      </c>
      <c r="C62">
        <f t="shared" si="0"/>
        <v>25</v>
      </c>
      <c r="D62">
        <v>3.9836799999999999E-3</v>
      </c>
      <c r="E62">
        <v>0.01</v>
      </c>
    </row>
    <row r="63" spans="1:5" hidden="1" x14ac:dyDescent="0.2">
      <c r="A63">
        <v>60</v>
      </c>
      <c r="B63" t="s">
        <v>19</v>
      </c>
      <c r="C63">
        <f t="shared" si="0"/>
        <v>26</v>
      </c>
      <c r="D63">
        <v>3.7551200000000002E-3</v>
      </c>
      <c r="E63">
        <v>5.0000000000000001E-3</v>
      </c>
    </row>
    <row r="64" spans="1:5" hidden="1" x14ac:dyDescent="0.2">
      <c r="A64">
        <v>60</v>
      </c>
      <c r="B64" t="s">
        <v>19</v>
      </c>
      <c r="C64">
        <f t="shared" si="0"/>
        <v>27</v>
      </c>
      <c r="D64">
        <v>3.5344599999999997E-3</v>
      </c>
      <c r="E64">
        <v>8.9999999999999993E-3</v>
      </c>
    </row>
    <row r="65" spans="1:5" hidden="1" x14ac:dyDescent="0.2">
      <c r="A65">
        <v>60</v>
      </c>
      <c r="B65" t="s">
        <v>19</v>
      </c>
      <c r="C65">
        <f t="shared" si="0"/>
        <v>28</v>
      </c>
      <c r="D65">
        <v>3.3228799999999998E-3</v>
      </c>
      <c r="E65">
        <v>4.0000000000000001E-3</v>
      </c>
    </row>
    <row r="66" spans="1:5" hidden="1" x14ac:dyDescent="0.2">
      <c r="A66">
        <v>60</v>
      </c>
      <c r="B66" t="s">
        <v>19</v>
      </c>
      <c r="C66">
        <f t="shared" si="0"/>
        <v>29</v>
      </c>
      <c r="D66">
        <v>3.1211100000000003E-3</v>
      </c>
      <c r="E66">
        <v>7.0000000000000001E-3</v>
      </c>
    </row>
    <row r="67" spans="1:5" hidden="1" x14ac:dyDescent="0.2">
      <c r="A67">
        <v>60</v>
      </c>
      <c r="B67" t="s">
        <v>19</v>
      </c>
      <c r="C67">
        <f t="shared" si="0"/>
        <v>30</v>
      </c>
      <c r="D67">
        <v>2.9295100000000002E-3</v>
      </c>
      <c r="E67">
        <v>4.0000000000000001E-3</v>
      </c>
    </row>
    <row r="68" spans="1:5" hidden="1" x14ac:dyDescent="0.2">
      <c r="A68">
        <v>60</v>
      </c>
      <c r="B68" t="s">
        <v>19</v>
      </c>
      <c r="C68">
        <f t="shared" si="0"/>
        <v>31</v>
      </c>
      <c r="D68">
        <v>2.7482099999999996E-3</v>
      </c>
      <c r="E68">
        <v>0.01</v>
      </c>
    </row>
    <row r="69" spans="1:5" hidden="1" x14ac:dyDescent="0.2">
      <c r="A69">
        <v>60</v>
      </c>
      <c r="B69" t="s">
        <v>19</v>
      </c>
      <c r="C69">
        <f t="shared" si="0"/>
        <v>32</v>
      </c>
      <c r="D69">
        <v>2.5771399999999999E-3</v>
      </c>
      <c r="E69">
        <v>4.0000000000000001E-3</v>
      </c>
    </row>
    <row r="70" spans="1:5" hidden="1" x14ac:dyDescent="0.2">
      <c r="A70">
        <v>60</v>
      </c>
      <c r="B70" t="s">
        <v>19</v>
      </c>
      <c r="C70">
        <f t="shared" si="0"/>
        <v>33</v>
      </c>
      <c r="D70">
        <v>2.4160900000000001E-3</v>
      </c>
      <c r="E70">
        <v>8.0000000000000002E-3</v>
      </c>
    </row>
    <row r="71" spans="1:5" hidden="1" x14ac:dyDescent="0.2">
      <c r="A71">
        <v>60</v>
      </c>
      <c r="B71" t="s">
        <v>19</v>
      </c>
      <c r="C71">
        <f t="shared" si="0"/>
        <v>34</v>
      </c>
      <c r="D71">
        <v>2.2647500000000003E-3</v>
      </c>
      <c r="E71">
        <v>8.9999999999999993E-3</v>
      </c>
    </row>
    <row r="72" spans="1:5" hidden="1" x14ac:dyDescent="0.2">
      <c r="A72">
        <v>60</v>
      </c>
      <c r="B72" t="s">
        <v>19</v>
      </c>
      <c r="C72">
        <f t="shared" si="0"/>
        <v>35</v>
      </c>
      <c r="D72">
        <v>2.1227399999999997E-3</v>
      </c>
      <c r="E72">
        <v>6.0000000000000001E-3</v>
      </c>
    </row>
    <row r="73" spans="1:5" hidden="1" x14ac:dyDescent="0.2">
      <c r="A73">
        <v>60</v>
      </c>
      <c r="B73" t="s">
        <v>19</v>
      </c>
      <c r="C73">
        <f t="shared" si="0"/>
        <v>36</v>
      </c>
      <c r="D73">
        <v>1.9896499999999999E-3</v>
      </c>
      <c r="E73">
        <v>6.0000000000000001E-3</v>
      </c>
    </row>
    <row r="74" spans="1:5" hidden="1" x14ac:dyDescent="0.2">
      <c r="A74">
        <v>60</v>
      </c>
      <c r="B74" t="s">
        <v>19</v>
      </c>
      <c r="C74">
        <f t="shared" si="0"/>
        <v>37</v>
      </c>
      <c r="D74">
        <v>1.8650400000000001E-3</v>
      </c>
      <c r="E74">
        <v>7.0000000000000001E-3</v>
      </c>
    </row>
    <row r="75" spans="1:5" hidden="1" x14ac:dyDescent="0.2">
      <c r="A75">
        <v>60</v>
      </c>
      <c r="B75" t="s">
        <v>19</v>
      </c>
      <c r="C75">
        <f t="shared" si="0"/>
        <v>38</v>
      </c>
      <c r="D75">
        <v>1.7484499999999999E-3</v>
      </c>
      <c r="E75">
        <v>5.0000000000000001E-3</v>
      </c>
    </row>
    <row r="76" spans="1:5" hidden="1" x14ac:dyDescent="0.2">
      <c r="A76">
        <v>60</v>
      </c>
      <c r="B76" t="s">
        <v>19</v>
      </c>
      <c r="C76">
        <f t="shared" si="0"/>
        <v>39</v>
      </c>
      <c r="D76">
        <v>1.6394199999999999E-3</v>
      </c>
      <c r="E76">
        <v>4.0000000000000001E-3</v>
      </c>
    </row>
    <row r="77" spans="1:5" hidden="1" x14ac:dyDescent="0.2">
      <c r="A77">
        <v>60</v>
      </c>
      <c r="B77" t="s">
        <v>19</v>
      </c>
      <c r="C77">
        <f t="shared" si="0"/>
        <v>40</v>
      </c>
      <c r="D77">
        <v>1.5375199999999999E-3</v>
      </c>
      <c r="E77">
        <v>8.9999999999999993E-3</v>
      </c>
    </row>
    <row r="78" spans="1:5" hidden="1" x14ac:dyDescent="0.2">
      <c r="A78">
        <v>60</v>
      </c>
      <c r="B78" t="s">
        <v>19</v>
      </c>
      <c r="C78">
        <f t="shared" si="0"/>
        <v>41</v>
      </c>
      <c r="D78">
        <v>1.4422899999999999E-3</v>
      </c>
      <c r="E78">
        <v>4.0000000000000001E-3</v>
      </c>
    </row>
    <row r="79" spans="1:5" hidden="1" x14ac:dyDescent="0.2">
      <c r="A79">
        <v>60</v>
      </c>
      <c r="B79" t="s">
        <v>19</v>
      </c>
      <c r="C79">
        <f t="shared" si="0"/>
        <v>42</v>
      </c>
      <c r="D79">
        <v>1.35333E-3</v>
      </c>
      <c r="E79">
        <v>8.0000000000000002E-3</v>
      </c>
    </row>
    <row r="80" spans="1:5" hidden="1" x14ac:dyDescent="0.2">
      <c r="A80">
        <v>60</v>
      </c>
      <c r="B80" t="s">
        <v>19</v>
      </c>
      <c r="C80">
        <f t="shared" si="0"/>
        <v>43</v>
      </c>
      <c r="D80">
        <v>1.27023E-3</v>
      </c>
      <c r="E80">
        <v>7.0000000000000001E-3</v>
      </c>
    </row>
    <row r="81" spans="1:5" hidden="1" x14ac:dyDescent="0.2">
      <c r="A81">
        <v>60</v>
      </c>
      <c r="B81" t="s">
        <v>19</v>
      </c>
      <c r="C81">
        <f t="shared" si="0"/>
        <v>44</v>
      </c>
      <c r="D81">
        <v>1.19261E-3</v>
      </c>
      <c r="E81">
        <v>5.0000000000000001E-3</v>
      </c>
    </row>
    <row r="82" spans="1:5" hidden="1" x14ac:dyDescent="0.2">
      <c r="A82">
        <v>60</v>
      </c>
      <c r="B82" t="s">
        <v>19</v>
      </c>
      <c r="C82">
        <f t="shared" si="0"/>
        <v>45</v>
      </c>
      <c r="D82">
        <v>1.1201E-3</v>
      </c>
      <c r="E82">
        <v>6.0000000000000001E-3</v>
      </c>
    </row>
    <row r="83" spans="1:5" hidden="1" x14ac:dyDescent="0.2">
      <c r="A83">
        <v>60</v>
      </c>
      <c r="B83" t="s">
        <v>19</v>
      </c>
      <c r="C83">
        <f t="shared" si="0"/>
        <v>46</v>
      </c>
      <c r="D83">
        <v>1.05236E-3</v>
      </c>
      <c r="E83">
        <v>0.01</v>
      </c>
    </row>
    <row r="84" spans="1:5" hidden="1" x14ac:dyDescent="0.2">
      <c r="A84">
        <v>60</v>
      </c>
      <c r="B84" t="s">
        <v>19</v>
      </c>
      <c r="C84">
        <f t="shared" si="0"/>
        <v>47</v>
      </c>
      <c r="D84">
        <v>9.8906999999999988E-4</v>
      </c>
      <c r="E84">
        <v>0.01</v>
      </c>
    </row>
    <row r="85" spans="1:5" hidden="1" x14ac:dyDescent="0.2">
      <c r="A85">
        <v>60</v>
      </c>
      <c r="B85" t="s">
        <v>19</v>
      </c>
      <c r="C85">
        <f t="shared" si="0"/>
        <v>48</v>
      </c>
      <c r="D85">
        <v>9.299200000000001E-4</v>
      </c>
      <c r="E85">
        <v>5.0000000000000001E-3</v>
      </c>
    </row>
    <row r="86" spans="1:5" hidden="1" x14ac:dyDescent="0.2">
      <c r="A86">
        <v>60</v>
      </c>
      <c r="B86" t="s">
        <v>19</v>
      </c>
      <c r="C86">
        <f t="shared" si="0"/>
        <v>49</v>
      </c>
      <c r="D86">
        <v>8.7463999999999999E-4</v>
      </c>
      <c r="E86">
        <v>8.9999999999999993E-3</v>
      </c>
    </row>
    <row r="87" spans="1:5" hidden="1" x14ac:dyDescent="0.2">
      <c r="A87">
        <v>60</v>
      </c>
      <c r="B87" t="s">
        <v>19</v>
      </c>
      <c r="C87">
        <f t="shared" si="0"/>
        <v>50</v>
      </c>
      <c r="D87">
        <v>8.2294999999999992E-4</v>
      </c>
      <c r="E87">
        <v>4.0000000000000001E-3</v>
      </c>
    </row>
    <row r="88" spans="1:5" hidden="1" x14ac:dyDescent="0.2">
      <c r="A88">
        <v>60</v>
      </c>
      <c r="B88" t="s">
        <v>19</v>
      </c>
      <c r="C88">
        <f t="shared" si="0"/>
        <v>51</v>
      </c>
      <c r="D88">
        <v>7.7461000000000001E-4</v>
      </c>
      <c r="E88">
        <v>7.0000000000000001E-3</v>
      </c>
    </row>
    <row r="89" spans="1:5" hidden="1" x14ac:dyDescent="0.2">
      <c r="A89">
        <v>60</v>
      </c>
      <c r="B89" t="s">
        <v>19</v>
      </c>
      <c r="C89">
        <f t="shared" si="0"/>
        <v>52</v>
      </c>
      <c r="D89">
        <v>7.2940000000000006E-4</v>
      </c>
      <c r="E89">
        <v>4.0000000000000001E-3</v>
      </c>
    </row>
    <row r="90" spans="1:5" hidden="1" x14ac:dyDescent="0.2">
      <c r="A90">
        <v>60</v>
      </c>
      <c r="B90" t="s">
        <v>19</v>
      </c>
      <c r="C90">
        <f t="shared" si="0"/>
        <v>53</v>
      </c>
      <c r="D90">
        <v>6.8709000000000001E-4</v>
      </c>
      <c r="E90">
        <v>0.01</v>
      </c>
    </row>
    <row r="91" spans="1:5" hidden="1" x14ac:dyDescent="0.2">
      <c r="A91">
        <v>60</v>
      </c>
      <c r="B91" t="s">
        <v>19</v>
      </c>
      <c r="C91">
        <f t="shared" si="0"/>
        <v>54</v>
      </c>
      <c r="D91">
        <v>6.4749000000000002E-4</v>
      </c>
      <c r="E91">
        <v>0.01</v>
      </c>
    </row>
    <row r="92" spans="1:5" hidden="1" x14ac:dyDescent="0.2">
      <c r="A92">
        <v>60</v>
      </c>
      <c r="B92" t="s">
        <v>19</v>
      </c>
      <c r="C92">
        <f t="shared" si="0"/>
        <v>55</v>
      </c>
      <c r="D92">
        <v>6.1041000000000003E-4</v>
      </c>
      <c r="E92">
        <v>5.0000000000000001E-3</v>
      </c>
    </row>
    <row r="93" spans="1:5" hidden="1" x14ac:dyDescent="0.2">
      <c r="A93">
        <v>60</v>
      </c>
      <c r="B93" t="s">
        <v>19</v>
      </c>
      <c r="C93">
        <f t="shared" si="0"/>
        <v>56</v>
      </c>
      <c r="D93">
        <v>5.7567999999999996E-4</v>
      </c>
      <c r="E93">
        <v>8.9999999999999993E-3</v>
      </c>
    </row>
    <row r="94" spans="1:5" hidden="1" x14ac:dyDescent="0.2">
      <c r="A94">
        <v>60</v>
      </c>
      <c r="B94" t="s">
        <v>19</v>
      </c>
      <c r="C94">
        <f t="shared" si="0"/>
        <v>57</v>
      </c>
      <c r="D94">
        <v>5.4314000000000001E-4</v>
      </c>
      <c r="E94">
        <v>4.0000000000000001E-3</v>
      </c>
    </row>
    <row r="95" spans="1:5" hidden="1" x14ac:dyDescent="0.2">
      <c r="A95">
        <v>60</v>
      </c>
      <c r="B95" t="s">
        <v>19</v>
      </c>
      <c r="C95">
        <f t="shared" si="0"/>
        <v>58</v>
      </c>
      <c r="D95">
        <v>5.1263999999999997E-4</v>
      </c>
      <c r="E95">
        <v>7.0000000000000001E-3</v>
      </c>
    </row>
    <row r="96" spans="1:5" hidden="1" x14ac:dyDescent="0.2">
      <c r="A96">
        <v>60</v>
      </c>
      <c r="B96" t="s">
        <v>19</v>
      </c>
      <c r="C96">
        <f t="shared" si="0"/>
        <v>59</v>
      </c>
      <c r="D96">
        <v>4.8403000000000004E-4</v>
      </c>
      <c r="E96">
        <v>4.0000000000000001E-3</v>
      </c>
    </row>
    <row r="97" spans="1:5" hidden="1" x14ac:dyDescent="0.2">
      <c r="A97">
        <v>60</v>
      </c>
      <c r="B97" t="s">
        <v>19</v>
      </c>
      <c r="C97">
        <f t="shared" si="0"/>
        <v>60</v>
      </c>
      <c r="D97">
        <v>4.5720999999999999E-4</v>
      </c>
      <c r="E97">
        <v>0.01</v>
      </c>
    </row>
    <row r="98" spans="1:5" x14ac:dyDescent="0.2">
      <c r="A98">
        <v>36</v>
      </c>
      <c r="B98" t="s">
        <v>50</v>
      </c>
      <c r="C98">
        <v>1</v>
      </c>
      <c r="D98">
        <v>0</v>
      </c>
      <c r="E98">
        <v>5.0000000000000001E-3</v>
      </c>
    </row>
    <row r="99" spans="1:5" x14ac:dyDescent="0.2">
      <c r="A99">
        <v>36</v>
      </c>
      <c r="B99" t="s">
        <v>50</v>
      </c>
      <c r="C99">
        <f>C98+1</f>
        <v>2</v>
      </c>
      <c r="D99">
        <v>0</v>
      </c>
      <c r="E99">
        <v>8.9999999999999993E-3</v>
      </c>
    </row>
    <row r="100" spans="1:5" x14ac:dyDescent="0.2">
      <c r="A100">
        <v>36</v>
      </c>
      <c r="B100" t="s">
        <v>50</v>
      </c>
      <c r="C100">
        <f t="shared" ref="C100:C133" si="1">C99+1</f>
        <v>3</v>
      </c>
      <c r="D100">
        <v>1.84481859126E-3</v>
      </c>
      <c r="E100">
        <v>4.0000000000000001E-3</v>
      </c>
    </row>
    <row r="101" spans="1:5" x14ac:dyDescent="0.2">
      <c r="A101">
        <v>36</v>
      </c>
      <c r="B101" t="s">
        <v>50</v>
      </c>
      <c r="C101">
        <f t="shared" si="1"/>
        <v>4</v>
      </c>
      <c r="D101">
        <v>2.81437317853E-3</v>
      </c>
      <c r="E101">
        <v>7.0000000000000001E-3</v>
      </c>
    </row>
    <row r="102" spans="1:5" x14ac:dyDescent="0.2">
      <c r="A102">
        <v>36</v>
      </c>
      <c r="B102" t="s">
        <v>50</v>
      </c>
      <c r="C102">
        <f t="shared" si="1"/>
        <v>5</v>
      </c>
      <c r="D102">
        <v>3.0112529849600001E-3</v>
      </c>
      <c r="E102">
        <v>4.0000000000000001E-3</v>
      </c>
    </row>
    <row r="103" spans="1:5" x14ac:dyDescent="0.2">
      <c r="A103">
        <v>36</v>
      </c>
      <c r="B103" t="s">
        <v>50</v>
      </c>
      <c r="C103">
        <f t="shared" si="1"/>
        <v>6</v>
      </c>
      <c r="D103">
        <v>2.9703857576999998E-3</v>
      </c>
      <c r="E103">
        <v>0.01</v>
      </c>
    </row>
    <row r="104" spans="1:5" x14ac:dyDescent="0.2">
      <c r="A104">
        <v>36</v>
      </c>
      <c r="B104" t="s">
        <v>50</v>
      </c>
      <c r="C104">
        <f t="shared" si="1"/>
        <v>7</v>
      </c>
      <c r="D104">
        <v>2.8463201021599999E-3</v>
      </c>
      <c r="E104">
        <v>4.0000000000000001E-3</v>
      </c>
    </row>
    <row r="105" spans="1:5" x14ac:dyDescent="0.2">
      <c r="A105">
        <v>36</v>
      </c>
      <c r="B105" t="s">
        <v>50</v>
      </c>
      <c r="C105">
        <f t="shared" si="1"/>
        <v>8</v>
      </c>
      <c r="D105">
        <v>2.6948266924599999E-3</v>
      </c>
      <c r="E105">
        <v>8.0000000000000002E-3</v>
      </c>
    </row>
    <row r="106" spans="1:5" x14ac:dyDescent="0.2">
      <c r="A106">
        <v>36</v>
      </c>
      <c r="B106" t="s">
        <v>50</v>
      </c>
      <c r="C106">
        <f t="shared" si="1"/>
        <v>9</v>
      </c>
      <c r="D106">
        <v>2.53846215906E-3</v>
      </c>
      <c r="E106">
        <v>8.9999999999999993E-3</v>
      </c>
    </row>
    <row r="107" spans="1:5" x14ac:dyDescent="0.2">
      <c r="A107">
        <v>36</v>
      </c>
      <c r="B107" t="s">
        <v>50</v>
      </c>
      <c r="C107">
        <f t="shared" si="1"/>
        <v>10</v>
      </c>
      <c r="D107">
        <v>2.3867539453300002E-3</v>
      </c>
      <c r="E107">
        <v>6.0000000000000001E-3</v>
      </c>
    </row>
    <row r="108" spans="1:5" x14ac:dyDescent="0.2">
      <c r="A108">
        <v>36</v>
      </c>
      <c r="B108" t="s">
        <v>50</v>
      </c>
      <c r="C108">
        <f t="shared" si="1"/>
        <v>11</v>
      </c>
      <c r="D108">
        <v>2.2436085403800001E-3</v>
      </c>
      <c r="E108">
        <v>6.0000000000000001E-3</v>
      </c>
    </row>
    <row r="109" spans="1:5" x14ac:dyDescent="0.2">
      <c r="A109">
        <v>36</v>
      </c>
      <c r="B109" t="s">
        <v>50</v>
      </c>
      <c r="C109">
        <f t="shared" si="1"/>
        <v>12</v>
      </c>
      <c r="D109">
        <v>2.1103669493E-3</v>
      </c>
      <c r="E109">
        <v>7.0000000000000001E-3</v>
      </c>
    </row>
    <row r="110" spans="1:5" x14ac:dyDescent="0.2">
      <c r="A110">
        <v>36</v>
      </c>
      <c r="B110" t="s">
        <v>50</v>
      </c>
      <c r="C110">
        <f t="shared" si="1"/>
        <v>13</v>
      </c>
      <c r="D110">
        <v>1.9871707318300002E-3</v>
      </c>
      <c r="E110">
        <v>5.0000000000000001E-3</v>
      </c>
    </row>
    <row r="111" spans="1:5" x14ac:dyDescent="0.2">
      <c r="A111">
        <v>36</v>
      </c>
      <c r="B111" t="s">
        <v>50</v>
      </c>
      <c r="C111">
        <f t="shared" si="1"/>
        <v>14</v>
      </c>
      <c r="D111">
        <v>1.8736077204700001E-3</v>
      </c>
      <c r="E111">
        <v>4.0000000000000001E-3</v>
      </c>
    </row>
    <row r="112" spans="1:5" x14ac:dyDescent="0.2">
      <c r="A112">
        <v>36</v>
      </c>
      <c r="B112" t="s">
        <v>50</v>
      </c>
      <c r="C112">
        <f t="shared" si="1"/>
        <v>15</v>
      </c>
      <c r="D112">
        <v>1.76902842642E-3</v>
      </c>
      <c r="E112">
        <v>8.9999999999999993E-3</v>
      </c>
    </row>
    <row r="113" spans="1:5" x14ac:dyDescent="0.2">
      <c r="A113">
        <v>36</v>
      </c>
      <c r="B113" t="s">
        <v>50</v>
      </c>
      <c r="C113">
        <f t="shared" si="1"/>
        <v>16</v>
      </c>
      <c r="D113">
        <v>1.672703819E-3</v>
      </c>
      <c r="E113">
        <v>4.0000000000000001E-3</v>
      </c>
    </row>
    <row r="114" spans="1:5" x14ac:dyDescent="0.2">
      <c r="A114">
        <v>36</v>
      </c>
      <c r="B114" t="s">
        <v>50</v>
      </c>
      <c r="C114">
        <f t="shared" si="1"/>
        <v>17</v>
      </c>
      <c r="D114">
        <v>1.5839037042400001E-3</v>
      </c>
      <c r="E114">
        <v>8.0000000000000002E-3</v>
      </c>
    </row>
    <row r="115" spans="1:5" x14ac:dyDescent="0.2">
      <c r="A115">
        <v>36</v>
      </c>
      <c r="B115" t="s">
        <v>50</v>
      </c>
      <c r="C115">
        <f t="shared" si="1"/>
        <v>18</v>
      </c>
      <c r="D115">
        <v>1.5019342973299999E-3</v>
      </c>
      <c r="E115">
        <v>7.0000000000000001E-3</v>
      </c>
    </row>
    <row r="116" spans="1:5" x14ac:dyDescent="0.2">
      <c r="A116">
        <v>36</v>
      </c>
      <c r="B116" t="s">
        <v>50</v>
      </c>
      <c r="C116">
        <f t="shared" si="1"/>
        <v>19</v>
      </c>
      <c r="D116">
        <v>1.42615451675E-3</v>
      </c>
      <c r="E116">
        <v>5.0000000000000001E-3</v>
      </c>
    </row>
    <row r="117" spans="1:5" x14ac:dyDescent="0.2">
      <c r="A117">
        <v>36</v>
      </c>
      <c r="B117" t="s">
        <v>50</v>
      </c>
      <c r="C117">
        <f t="shared" si="1"/>
        <v>20</v>
      </c>
      <c r="D117">
        <v>1.3559811729799999E-3</v>
      </c>
      <c r="E117">
        <v>6.0000000000000001E-3</v>
      </c>
    </row>
    <row r="118" spans="1:5" x14ac:dyDescent="0.2">
      <c r="A118">
        <v>36</v>
      </c>
      <c r="B118" t="s">
        <v>50</v>
      </c>
      <c r="C118">
        <f t="shared" si="1"/>
        <v>21</v>
      </c>
      <c r="D118">
        <v>1.2908884631499999E-3</v>
      </c>
      <c r="E118">
        <v>0.01</v>
      </c>
    </row>
    <row r="119" spans="1:5" x14ac:dyDescent="0.2">
      <c r="A119">
        <v>36</v>
      </c>
      <c r="B119" t="s">
        <v>50</v>
      </c>
      <c r="C119">
        <f t="shared" si="1"/>
        <v>22</v>
      </c>
      <c r="D119">
        <v>1.23040468762E-3</v>
      </c>
      <c r="E119">
        <v>0.01</v>
      </c>
    </row>
    <row r="120" spans="1:5" x14ac:dyDescent="0.2">
      <c r="A120">
        <v>36</v>
      </c>
      <c r="B120" t="s">
        <v>50</v>
      </c>
      <c r="C120">
        <f t="shared" si="1"/>
        <v>23</v>
      </c>
      <c r="D120">
        <v>1.1741077651800001E-3</v>
      </c>
      <c r="E120">
        <v>5.0000000000000001E-3</v>
      </c>
    </row>
    <row r="121" spans="1:5" x14ac:dyDescent="0.2">
      <c r="A121">
        <v>36</v>
      </c>
      <c r="B121" t="s">
        <v>50</v>
      </c>
      <c r="C121">
        <f t="shared" si="1"/>
        <v>24</v>
      </c>
      <c r="D121">
        <v>1.1216203923E-3</v>
      </c>
      <c r="E121">
        <v>8.9999999999999993E-3</v>
      </c>
    </row>
    <row r="122" spans="1:5" x14ac:dyDescent="0.2">
      <c r="A122">
        <v>36</v>
      </c>
      <c r="B122" t="s">
        <v>50</v>
      </c>
      <c r="C122">
        <f t="shared" si="1"/>
        <v>25</v>
      </c>
      <c r="D122">
        <v>1.07260528776E-3</v>
      </c>
      <c r="E122">
        <v>4.0000000000000001E-3</v>
      </c>
    </row>
    <row r="123" spans="1:5" x14ac:dyDescent="0.2">
      <c r="A123">
        <v>36</v>
      </c>
      <c r="B123" t="s">
        <v>50</v>
      </c>
      <c r="C123">
        <f t="shared" si="1"/>
        <v>26</v>
      </c>
      <c r="D123">
        <v>1.0267607396300001E-3</v>
      </c>
      <c r="E123">
        <v>7.0000000000000001E-3</v>
      </c>
    </row>
    <row r="124" spans="1:5" x14ac:dyDescent="0.2">
      <c r="A124">
        <v>36</v>
      </c>
      <c r="B124" t="s">
        <v>50</v>
      </c>
      <c r="C124">
        <f t="shared" si="1"/>
        <v>27</v>
      </c>
      <c r="D124">
        <v>9.8381654723000002E-4</v>
      </c>
      <c r="E124">
        <v>4.0000000000000001E-3</v>
      </c>
    </row>
    <row r="125" spans="1:5" x14ac:dyDescent="0.2">
      <c r="A125">
        <v>36</v>
      </c>
      <c r="B125" t="s">
        <v>50</v>
      </c>
      <c r="C125">
        <f t="shared" si="1"/>
        <v>28</v>
      </c>
      <c r="D125">
        <v>9.4353038323299995E-4</v>
      </c>
      <c r="E125">
        <v>0.01</v>
      </c>
    </row>
    <row r="126" spans="1:5" x14ac:dyDescent="0.2">
      <c r="A126">
        <v>36</v>
      </c>
      <c r="B126" t="s">
        <v>50</v>
      </c>
      <c r="C126">
        <f t="shared" si="1"/>
        <v>29</v>
      </c>
      <c r="D126">
        <v>9.0568456498200001E-4</v>
      </c>
      <c r="E126">
        <v>0.01</v>
      </c>
    </row>
    <row r="127" spans="1:5" x14ac:dyDescent="0.2">
      <c r="A127">
        <v>36</v>
      </c>
      <c r="B127" t="s">
        <v>50</v>
      </c>
      <c r="C127">
        <f t="shared" si="1"/>
        <v>30</v>
      </c>
      <c r="D127">
        <v>8.7008320682699998E-4</v>
      </c>
      <c r="E127">
        <v>5.0000000000000001E-3</v>
      </c>
    </row>
    <row r="128" spans="1:5" x14ac:dyDescent="0.2">
      <c r="A128">
        <v>36</v>
      </c>
      <c r="B128" t="s">
        <v>50</v>
      </c>
      <c r="C128">
        <f t="shared" si="1"/>
        <v>31</v>
      </c>
      <c r="D128">
        <v>8.3654971771100002E-4</v>
      </c>
      <c r="E128">
        <v>8.9999999999999993E-3</v>
      </c>
    </row>
    <row r="129" spans="1:5" x14ac:dyDescent="0.2">
      <c r="A129">
        <v>36</v>
      </c>
      <c r="B129" t="s">
        <v>50</v>
      </c>
      <c r="C129">
        <f t="shared" si="1"/>
        <v>32</v>
      </c>
      <c r="D129">
        <v>8.0492460653500001E-4</v>
      </c>
      <c r="E129">
        <v>4.0000000000000001E-3</v>
      </c>
    </row>
    <row r="130" spans="1:5" x14ac:dyDescent="0.2">
      <c r="A130">
        <v>36</v>
      </c>
      <c r="B130" t="s">
        <v>50</v>
      </c>
      <c r="C130">
        <f t="shared" si="1"/>
        <v>33</v>
      </c>
      <c r="D130">
        <v>7.7506355907500004E-4</v>
      </c>
      <c r="E130">
        <v>7.0000000000000001E-3</v>
      </c>
    </row>
    <row r="131" spans="1:5" x14ac:dyDescent="0.2">
      <c r="A131">
        <v>36</v>
      </c>
      <c r="B131" t="s">
        <v>50</v>
      </c>
      <c r="C131">
        <f t="shared" si="1"/>
        <v>34</v>
      </c>
      <c r="D131">
        <v>7.46835752873E-4</v>
      </c>
      <c r="E131">
        <v>4.0000000000000001E-3</v>
      </c>
    </row>
    <row r="132" spans="1:5" x14ac:dyDescent="0.2">
      <c r="A132">
        <v>36</v>
      </c>
      <c r="B132" t="s">
        <v>50</v>
      </c>
      <c r="C132">
        <f t="shared" si="1"/>
        <v>35</v>
      </c>
      <c r="D132">
        <v>7.20122379882E-4</v>
      </c>
      <c r="E132">
        <v>0.01</v>
      </c>
    </row>
    <row r="133" spans="1:5" x14ac:dyDescent="0.2">
      <c r="A133">
        <v>36</v>
      </c>
      <c r="B133" t="s">
        <v>50</v>
      </c>
      <c r="C133">
        <f t="shared" si="1"/>
        <v>36</v>
      </c>
      <c r="D133">
        <v>6.9481534998199997E-4</v>
      </c>
      <c r="E133">
        <v>4.0000000000000001E-3</v>
      </c>
    </row>
    <row r="134" spans="1:5" hidden="1" x14ac:dyDescent="0.2">
      <c r="A134">
        <v>36</v>
      </c>
      <c r="B134" t="s">
        <v>51</v>
      </c>
      <c r="C134">
        <v>1</v>
      </c>
      <c r="D134" s="40">
        <v>0</v>
      </c>
      <c r="E134">
        <v>0.01</v>
      </c>
    </row>
    <row r="135" spans="1:5" hidden="1" x14ac:dyDescent="0.2">
      <c r="A135">
        <v>36</v>
      </c>
      <c r="B135" t="s">
        <v>51</v>
      </c>
      <c r="C135">
        <f>C134+1</f>
        <v>2</v>
      </c>
      <c r="D135" s="40">
        <v>0</v>
      </c>
      <c r="E135">
        <v>8.0000000000000002E-3</v>
      </c>
    </row>
    <row r="136" spans="1:5" hidden="1" x14ac:dyDescent="0.2">
      <c r="A136">
        <v>36</v>
      </c>
      <c r="B136" t="s">
        <v>51</v>
      </c>
      <c r="C136">
        <f t="shared" ref="C136:C169" si="2">C135+1</f>
        <v>3</v>
      </c>
      <c r="D136" s="40">
        <v>5.8222957553500003E-3</v>
      </c>
      <c r="E136">
        <v>8.0000000000000002E-3</v>
      </c>
    </row>
    <row r="137" spans="1:5" hidden="1" x14ac:dyDescent="0.2">
      <c r="A137">
        <v>36</v>
      </c>
      <c r="B137" t="s">
        <v>51</v>
      </c>
      <c r="C137">
        <f t="shared" si="2"/>
        <v>4</v>
      </c>
      <c r="D137" s="40">
        <v>5.5232747052899999E-3</v>
      </c>
      <c r="E137">
        <v>0.01</v>
      </c>
    </row>
    <row r="138" spans="1:5" hidden="1" x14ac:dyDescent="0.2">
      <c r="A138">
        <v>36</v>
      </c>
      <c r="B138" t="s">
        <v>51</v>
      </c>
      <c r="C138">
        <f t="shared" si="2"/>
        <v>5</v>
      </c>
      <c r="D138" s="40">
        <v>4.7893870892399999E-3</v>
      </c>
      <c r="E138">
        <v>4.0000000000000001E-3</v>
      </c>
    </row>
    <row r="139" spans="1:5" hidden="1" x14ac:dyDescent="0.2">
      <c r="A139">
        <v>36</v>
      </c>
      <c r="B139" t="s">
        <v>51</v>
      </c>
      <c r="C139">
        <f t="shared" si="2"/>
        <v>6</v>
      </c>
      <c r="D139" s="40">
        <v>4.1536562544700001E-3</v>
      </c>
      <c r="E139">
        <v>5.0000000000000001E-3</v>
      </c>
    </row>
    <row r="140" spans="1:5" hidden="1" x14ac:dyDescent="0.2">
      <c r="A140">
        <v>36</v>
      </c>
      <c r="B140" t="s">
        <v>51</v>
      </c>
      <c r="C140">
        <f t="shared" si="2"/>
        <v>7</v>
      </c>
      <c r="D140" s="40">
        <v>3.6375567887499999E-3</v>
      </c>
      <c r="E140">
        <v>7.0000000000000001E-3</v>
      </c>
    </row>
    <row r="141" spans="1:5" hidden="1" x14ac:dyDescent="0.2">
      <c r="A141">
        <v>36</v>
      </c>
      <c r="B141" t="s">
        <v>51</v>
      </c>
      <c r="C141">
        <f t="shared" si="2"/>
        <v>8</v>
      </c>
      <c r="D141" s="40">
        <v>3.2184178236399998E-3</v>
      </c>
      <c r="E141">
        <v>5.0000000000000001E-3</v>
      </c>
    </row>
    <row r="142" spans="1:5" hidden="1" x14ac:dyDescent="0.2">
      <c r="A142">
        <v>36</v>
      </c>
      <c r="B142" t="s">
        <v>51</v>
      </c>
      <c r="C142">
        <f t="shared" si="2"/>
        <v>9</v>
      </c>
      <c r="D142" s="40">
        <v>2.8739615916199999E-3</v>
      </c>
      <c r="E142">
        <v>8.0000000000000002E-3</v>
      </c>
    </row>
    <row r="143" spans="1:5" hidden="1" x14ac:dyDescent="0.2">
      <c r="A143">
        <v>36</v>
      </c>
      <c r="B143" t="s">
        <v>51</v>
      </c>
      <c r="C143">
        <f t="shared" si="2"/>
        <v>10</v>
      </c>
      <c r="D143" s="40">
        <v>2.5870504769499999E-3</v>
      </c>
      <c r="E143">
        <v>6.0000000000000001E-3</v>
      </c>
    </row>
    <row r="144" spans="1:5" hidden="1" x14ac:dyDescent="0.2">
      <c r="A144">
        <v>36</v>
      </c>
      <c r="B144" t="s">
        <v>51</v>
      </c>
      <c r="C144">
        <f t="shared" si="2"/>
        <v>11</v>
      </c>
      <c r="D144" s="40">
        <v>2.3450243167300001E-3</v>
      </c>
      <c r="E144">
        <v>5.0000000000000001E-3</v>
      </c>
    </row>
    <row r="145" spans="1:5" hidden="1" x14ac:dyDescent="0.2">
      <c r="A145">
        <v>36</v>
      </c>
      <c r="B145" t="s">
        <v>51</v>
      </c>
      <c r="C145">
        <f t="shared" si="2"/>
        <v>12</v>
      </c>
      <c r="D145" s="40">
        <v>2.1385255629700001E-3</v>
      </c>
      <c r="E145">
        <v>8.0000000000000002E-3</v>
      </c>
    </row>
    <row r="146" spans="1:5" hidden="1" x14ac:dyDescent="0.2">
      <c r="A146">
        <v>36</v>
      </c>
      <c r="B146" t="s">
        <v>51</v>
      </c>
      <c r="C146">
        <f t="shared" si="2"/>
        <v>13</v>
      </c>
      <c r="D146" s="40">
        <v>1.9605552462199998E-3</v>
      </c>
      <c r="E146">
        <v>5.0000000000000001E-3</v>
      </c>
    </row>
    <row r="147" spans="1:5" hidden="1" x14ac:dyDescent="0.2">
      <c r="A147">
        <v>36</v>
      </c>
      <c r="B147" t="s">
        <v>51</v>
      </c>
      <c r="C147">
        <f t="shared" si="2"/>
        <v>14</v>
      </c>
      <c r="D147" s="40">
        <v>1.8058002801E-3</v>
      </c>
      <c r="E147">
        <v>7.0000000000000001E-3</v>
      </c>
    </row>
    <row r="148" spans="1:5" hidden="1" x14ac:dyDescent="0.2">
      <c r="A148">
        <v>36</v>
      </c>
      <c r="B148" t="s">
        <v>51</v>
      </c>
      <c r="C148">
        <f t="shared" si="2"/>
        <v>15</v>
      </c>
      <c r="D148" s="40">
        <v>1.6701663288000001E-3</v>
      </c>
      <c r="E148">
        <v>5.0000000000000001E-3</v>
      </c>
    </row>
    <row r="149" spans="1:5" hidden="1" x14ac:dyDescent="0.2">
      <c r="A149">
        <v>36</v>
      </c>
      <c r="B149" t="s">
        <v>51</v>
      </c>
      <c r="C149">
        <f t="shared" si="2"/>
        <v>16</v>
      </c>
      <c r="D149" s="40">
        <v>1.5504529850000001E-3</v>
      </c>
      <c r="E149">
        <v>4.0000000000000001E-3</v>
      </c>
    </row>
    <row r="150" spans="1:5" hidden="1" x14ac:dyDescent="0.2">
      <c r="A150">
        <v>36</v>
      </c>
      <c r="B150" t="s">
        <v>51</v>
      </c>
      <c r="C150">
        <f t="shared" si="2"/>
        <v>17</v>
      </c>
      <c r="D150" s="40">
        <v>1.4441254610499999E-3</v>
      </c>
      <c r="E150">
        <v>8.9999999999999993E-3</v>
      </c>
    </row>
    <row r="151" spans="1:5" hidden="1" x14ac:dyDescent="0.2">
      <c r="A151">
        <v>36</v>
      </c>
      <c r="B151" t="s">
        <v>51</v>
      </c>
      <c r="C151">
        <f t="shared" si="2"/>
        <v>18</v>
      </c>
      <c r="D151" s="40">
        <v>1.3491518553600001E-3</v>
      </c>
      <c r="E151">
        <v>4.0000000000000001E-3</v>
      </c>
    </row>
    <row r="152" spans="1:5" hidden="1" x14ac:dyDescent="0.2">
      <c r="A152">
        <v>36</v>
      </c>
      <c r="B152" t="s">
        <v>51</v>
      </c>
      <c r="C152">
        <f t="shared" si="2"/>
        <v>19</v>
      </c>
      <c r="D152" s="40">
        <v>1.2638854334700001E-3</v>
      </c>
      <c r="E152">
        <v>8.0000000000000002E-3</v>
      </c>
    </row>
    <row r="153" spans="1:5" hidden="1" x14ac:dyDescent="0.2">
      <c r="A153">
        <v>36</v>
      </c>
      <c r="B153" t="s">
        <v>51</v>
      </c>
      <c r="C153">
        <f t="shared" si="2"/>
        <v>20</v>
      </c>
      <c r="D153" s="40">
        <v>1.18697822723E-3</v>
      </c>
      <c r="E153">
        <v>7.0000000000000001E-3</v>
      </c>
    </row>
    <row r="154" spans="1:5" hidden="1" x14ac:dyDescent="0.2">
      <c r="A154">
        <v>36</v>
      </c>
      <c r="B154" t="s">
        <v>51</v>
      </c>
      <c r="C154">
        <f t="shared" si="2"/>
        <v>21</v>
      </c>
      <c r="D154" s="40">
        <v>1.1173167381199999E-3</v>
      </c>
      <c r="E154">
        <v>5.0000000000000001E-3</v>
      </c>
    </row>
    <row r="155" spans="1:5" hidden="1" x14ac:dyDescent="0.2">
      <c r="A155">
        <v>36</v>
      </c>
      <c r="B155" t="s">
        <v>51</v>
      </c>
      <c r="C155">
        <f t="shared" si="2"/>
        <v>22</v>
      </c>
      <c r="D155" s="40">
        <v>1.0539734658000001E-3</v>
      </c>
      <c r="E155">
        <v>6.0000000000000001E-3</v>
      </c>
    </row>
    <row r="156" spans="1:5" hidden="1" x14ac:dyDescent="0.2">
      <c r="A156">
        <v>36</v>
      </c>
      <c r="B156" t="s">
        <v>51</v>
      </c>
      <c r="C156">
        <f t="shared" si="2"/>
        <v>23</v>
      </c>
      <c r="D156" s="40">
        <v>9.9616992311400004E-4</v>
      </c>
      <c r="E156">
        <v>0.01</v>
      </c>
    </row>
    <row r="157" spans="1:5" hidden="1" x14ac:dyDescent="0.2">
      <c r="A157">
        <v>36</v>
      </c>
      <c r="B157" t="s">
        <v>51</v>
      </c>
      <c r="C157">
        <f t="shared" si="2"/>
        <v>24</v>
      </c>
      <c r="D157" s="40">
        <v>9.4324809787800002E-4</v>
      </c>
      <c r="E157">
        <v>0.01</v>
      </c>
    </row>
    <row r="158" spans="1:5" hidden="1" x14ac:dyDescent="0.2">
      <c r="A158">
        <v>36</v>
      </c>
      <c r="B158" t="s">
        <v>51</v>
      </c>
      <c r="C158">
        <f t="shared" si="2"/>
        <v>25</v>
      </c>
      <c r="D158" s="40">
        <v>8.9464820228899995E-4</v>
      </c>
      <c r="E158">
        <v>5.0000000000000001E-3</v>
      </c>
    </row>
    <row r="159" spans="1:5" hidden="1" x14ac:dyDescent="0.2">
      <c r="A159">
        <v>36</v>
      </c>
      <c r="B159" t="s">
        <v>51</v>
      </c>
      <c r="C159">
        <f t="shared" si="2"/>
        <v>26</v>
      </c>
      <c r="D159" s="40">
        <v>8.4989115676099999E-4</v>
      </c>
      <c r="E159">
        <v>8.9999999999999993E-3</v>
      </c>
    </row>
    <row r="160" spans="1:5" hidden="1" x14ac:dyDescent="0.2">
      <c r="A160">
        <v>36</v>
      </c>
      <c r="B160" t="s">
        <v>51</v>
      </c>
      <c r="C160">
        <f t="shared" si="2"/>
        <v>27</v>
      </c>
      <c r="D160" s="40">
        <v>8.08564676847E-4</v>
      </c>
      <c r="E160">
        <v>4.0000000000000001E-3</v>
      </c>
    </row>
    <row r="161" spans="1:5" hidden="1" x14ac:dyDescent="0.2">
      <c r="A161">
        <v>36</v>
      </c>
      <c r="B161" t="s">
        <v>51</v>
      </c>
      <c r="C161">
        <f t="shared" si="2"/>
        <v>28</v>
      </c>
      <c r="D161" s="40">
        <v>7.7031212977600005E-4</v>
      </c>
      <c r="E161">
        <v>7.0000000000000001E-3</v>
      </c>
    </row>
    <row r="162" spans="1:5" hidden="1" x14ac:dyDescent="0.2">
      <c r="A162">
        <v>36</v>
      </c>
      <c r="B162" t="s">
        <v>51</v>
      </c>
      <c r="C162">
        <f t="shared" si="2"/>
        <v>29</v>
      </c>
      <c r="D162" s="40">
        <v>7.3482353981700003E-4</v>
      </c>
      <c r="E162">
        <v>4.0000000000000001E-3</v>
      </c>
    </row>
    <row r="163" spans="1:5" hidden="1" x14ac:dyDescent="0.2">
      <c r="A163">
        <v>36</v>
      </c>
      <c r="B163" t="s">
        <v>51</v>
      </c>
      <c r="C163">
        <f t="shared" si="2"/>
        <v>30</v>
      </c>
      <c r="D163" s="40">
        <v>7.0182827542500002E-4</v>
      </c>
      <c r="E163">
        <v>0.01</v>
      </c>
    </row>
    <row r="164" spans="1:5" hidden="1" x14ac:dyDescent="0.2">
      <c r="A164">
        <v>36</v>
      </c>
      <c r="B164" t="s">
        <v>51</v>
      </c>
      <c r="C164">
        <f t="shared" si="2"/>
        <v>31</v>
      </c>
      <c r="D164" s="40">
        <v>6.71089063371E-4</v>
      </c>
      <c r="E164">
        <v>4.0000000000000001E-3</v>
      </c>
    </row>
    <row r="165" spans="1:5" hidden="1" x14ac:dyDescent="0.2">
      <c r="A165">
        <v>36</v>
      </c>
      <c r="B165" t="s">
        <v>51</v>
      </c>
      <c r="C165">
        <f t="shared" si="2"/>
        <v>32</v>
      </c>
      <c r="D165" s="40">
        <v>6.4239705794499999E-4</v>
      </c>
      <c r="E165">
        <v>8.0000000000000002E-3</v>
      </c>
    </row>
    <row r="166" spans="1:5" hidden="1" x14ac:dyDescent="0.2">
      <c r="A166">
        <v>36</v>
      </c>
      <c r="B166" t="s">
        <v>51</v>
      </c>
      <c r="C166">
        <f t="shared" si="2"/>
        <v>33</v>
      </c>
      <c r="D166" s="40">
        <v>6.1556775507000004E-4</v>
      </c>
      <c r="E166">
        <v>8.9999999999999993E-3</v>
      </c>
    </row>
    <row r="167" spans="1:5" hidden="1" x14ac:dyDescent="0.2">
      <c r="A167">
        <v>36</v>
      </c>
      <c r="B167" t="s">
        <v>51</v>
      </c>
      <c r="C167">
        <f t="shared" si="2"/>
        <v>34</v>
      </c>
      <c r="D167" s="40">
        <v>5.9043758757299999E-4</v>
      </c>
      <c r="E167">
        <v>6.0000000000000001E-3</v>
      </c>
    </row>
    <row r="168" spans="1:5" hidden="1" x14ac:dyDescent="0.2">
      <c r="A168">
        <v>36</v>
      </c>
      <c r="B168" t="s">
        <v>51</v>
      </c>
      <c r="C168">
        <f t="shared" si="2"/>
        <v>35</v>
      </c>
      <c r="D168" s="40">
        <v>5.6686107311999996E-4</v>
      </c>
      <c r="E168">
        <v>6.0000000000000001E-3</v>
      </c>
    </row>
    <row r="169" spans="1:5" hidden="1" x14ac:dyDescent="0.2">
      <c r="A169">
        <v>36</v>
      </c>
      <c r="B169" t="s">
        <v>51</v>
      </c>
      <c r="C169">
        <f t="shared" si="2"/>
        <v>36</v>
      </c>
      <c r="D169" s="40">
        <v>5.4470841321699998E-4</v>
      </c>
      <c r="E169">
        <v>7.0000000000000001E-3</v>
      </c>
    </row>
    <row r="170" spans="1:5" hidden="1" x14ac:dyDescent="0.2">
      <c r="A170">
        <v>36</v>
      </c>
      <c r="B170" t="s">
        <v>52</v>
      </c>
      <c r="C170">
        <v>1</v>
      </c>
      <c r="D170" s="40">
        <v>0</v>
      </c>
      <c r="E170">
        <v>8.0000000000000002E-3</v>
      </c>
    </row>
    <row r="171" spans="1:5" hidden="1" x14ac:dyDescent="0.2">
      <c r="A171">
        <v>36</v>
      </c>
      <c r="B171" t="s">
        <v>52</v>
      </c>
      <c r="C171">
        <f>C170+1</f>
        <v>2</v>
      </c>
      <c r="D171" s="40">
        <v>0</v>
      </c>
      <c r="E171">
        <v>5.0000000000000001E-3</v>
      </c>
    </row>
    <row r="172" spans="1:5" hidden="1" x14ac:dyDescent="0.2">
      <c r="A172">
        <v>36</v>
      </c>
      <c r="B172" t="s">
        <v>52</v>
      </c>
      <c r="C172">
        <f t="shared" ref="C172:C205" si="3">C171+1</f>
        <v>3</v>
      </c>
      <c r="D172" s="40">
        <v>0</v>
      </c>
      <c r="E172">
        <v>7.0000000000000001E-3</v>
      </c>
    </row>
    <row r="173" spans="1:5" hidden="1" x14ac:dyDescent="0.2">
      <c r="A173">
        <v>36</v>
      </c>
      <c r="B173" t="s">
        <v>52</v>
      </c>
      <c r="C173">
        <f t="shared" si="3"/>
        <v>4</v>
      </c>
      <c r="D173" s="40">
        <v>1.1531993183E-4</v>
      </c>
      <c r="E173">
        <v>5.0000000000000001E-3</v>
      </c>
    </row>
    <row r="174" spans="1:5" hidden="1" x14ac:dyDescent="0.2">
      <c r="A174">
        <v>36</v>
      </c>
      <c r="B174" t="s">
        <v>52</v>
      </c>
      <c r="C174">
        <f t="shared" si="3"/>
        <v>5</v>
      </c>
      <c r="D174" s="40">
        <v>1.8976690788499999E-3</v>
      </c>
      <c r="E174">
        <v>4.0000000000000001E-3</v>
      </c>
    </row>
    <row r="175" spans="1:5" hidden="1" x14ac:dyDescent="0.2">
      <c r="A175">
        <v>36</v>
      </c>
      <c r="B175" t="s">
        <v>52</v>
      </c>
      <c r="C175">
        <f t="shared" si="3"/>
        <v>6</v>
      </c>
      <c r="D175" s="40">
        <v>4.2277823787600002E-3</v>
      </c>
      <c r="E175">
        <v>8.9999999999999993E-3</v>
      </c>
    </row>
    <row r="176" spans="1:5" hidden="1" x14ac:dyDescent="0.2">
      <c r="A176">
        <v>36</v>
      </c>
      <c r="B176" t="s">
        <v>52</v>
      </c>
      <c r="C176">
        <f t="shared" si="3"/>
        <v>7</v>
      </c>
      <c r="D176" s="40">
        <v>5.7689302634E-3</v>
      </c>
      <c r="E176">
        <v>4.0000000000000001E-3</v>
      </c>
    </row>
    <row r="177" spans="1:5" hidden="1" x14ac:dyDescent="0.2">
      <c r="A177">
        <v>36</v>
      </c>
      <c r="B177" t="s">
        <v>52</v>
      </c>
      <c r="C177">
        <f t="shared" si="3"/>
        <v>8</v>
      </c>
      <c r="D177" s="40">
        <v>6.4577823458599999E-3</v>
      </c>
      <c r="E177">
        <v>8.0000000000000002E-3</v>
      </c>
    </row>
    <row r="178" spans="1:5" hidden="1" x14ac:dyDescent="0.2">
      <c r="A178">
        <v>36</v>
      </c>
      <c r="B178" t="s">
        <v>52</v>
      </c>
      <c r="C178">
        <f t="shared" si="3"/>
        <v>9</v>
      </c>
      <c r="D178" s="40">
        <v>6.5532898900000002E-3</v>
      </c>
      <c r="E178">
        <v>7.0000000000000001E-3</v>
      </c>
    </row>
    <row r="179" spans="1:5" hidden="1" x14ac:dyDescent="0.2">
      <c r="A179">
        <v>36</v>
      </c>
      <c r="B179" t="s">
        <v>52</v>
      </c>
      <c r="C179">
        <f t="shared" si="3"/>
        <v>10</v>
      </c>
      <c r="D179" s="40">
        <v>6.2983864955400001E-3</v>
      </c>
      <c r="E179">
        <v>5.0000000000000001E-3</v>
      </c>
    </row>
    <row r="180" spans="1:5" hidden="1" x14ac:dyDescent="0.2">
      <c r="A180">
        <v>36</v>
      </c>
      <c r="B180" t="s">
        <v>52</v>
      </c>
      <c r="C180">
        <f t="shared" si="3"/>
        <v>11</v>
      </c>
      <c r="D180" s="40">
        <v>5.8615927331499996E-3</v>
      </c>
      <c r="E180">
        <v>6.0000000000000001E-3</v>
      </c>
    </row>
    <row r="181" spans="1:5" hidden="1" x14ac:dyDescent="0.2">
      <c r="A181">
        <v>36</v>
      </c>
      <c r="B181" t="s">
        <v>52</v>
      </c>
      <c r="C181">
        <f t="shared" si="3"/>
        <v>12</v>
      </c>
      <c r="D181" s="40">
        <v>5.3478271275799998E-3</v>
      </c>
      <c r="E181">
        <v>0.01</v>
      </c>
    </row>
    <row r="182" spans="1:5" hidden="1" x14ac:dyDescent="0.2">
      <c r="A182">
        <v>36</v>
      </c>
      <c r="B182" t="s">
        <v>52</v>
      </c>
      <c r="C182">
        <f t="shared" si="3"/>
        <v>13</v>
      </c>
      <c r="D182" s="40">
        <v>4.81844520285E-3</v>
      </c>
      <c r="E182">
        <v>0.01</v>
      </c>
    </row>
    <row r="183" spans="1:5" hidden="1" x14ac:dyDescent="0.2">
      <c r="A183">
        <v>36</v>
      </c>
      <c r="B183" t="s">
        <v>52</v>
      </c>
      <c r="C183">
        <f t="shared" si="3"/>
        <v>14</v>
      </c>
      <c r="D183" s="40">
        <v>4.3072781598700004E-3</v>
      </c>
      <c r="E183">
        <v>5.0000000000000001E-3</v>
      </c>
    </row>
    <row r="184" spans="1:5" hidden="1" x14ac:dyDescent="0.2">
      <c r="A184">
        <v>36</v>
      </c>
      <c r="B184" t="s">
        <v>52</v>
      </c>
      <c r="C184">
        <f t="shared" si="3"/>
        <v>15</v>
      </c>
      <c r="D184" s="40">
        <v>3.8314605363700001E-3</v>
      </c>
      <c r="E184">
        <v>8.9999999999999993E-3</v>
      </c>
    </row>
    <row r="185" spans="1:5" hidden="1" x14ac:dyDescent="0.2">
      <c r="A185">
        <v>36</v>
      </c>
      <c r="B185" t="s">
        <v>52</v>
      </c>
      <c r="C185">
        <f t="shared" si="3"/>
        <v>16</v>
      </c>
      <c r="D185" s="40">
        <v>3.3982875296499999E-3</v>
      </c>
      <c r="E185">
        <v>4.0000000000000001E-3</v>
      </c>
    </row>
    <row r="186" spans="1:5" hidden="1" x14ac:dyDescent="0.2">
      <c r="A186">
        <v>36</v>
      </c>
      <c r="B186" t="s">
        <v>52</v>
      </c>
      <c r="C186">
        <f t="shared" si="3"/>
        <v>17</v>
      </c>
      <c r="D186" s="40">
        <v>3.00942994594E-3</v>
      </c>
      <c r="E186">
        <v>7.0000000000000001E-3</v>
      </c>
    </row>
    <row r="187" spans="1:5" hidden="1" x14ac:dyDescent="0.2">
      <c r="A187">
        <v>36</v>
      </c>
      <c r="B187" t="s">
        <v>52</v>
      </c>
      <c r="C187">
        <f t="shared" si="3"/>
        <v>18</v>
      </c>
      <c r="D187" s="40">
        <v>2.6634802245100002E-3</v>
      </c>
      <c r="E187">
        <v>4.0000000000000001E-3</v>
      </c>
    </row>
    <row r="188" spans="1:5" hidden="1" x14ac:dyDescent="0.2">
      <c r="A188">
        <v>36</v>
      </c>
      <c r="B188" t="s">
        <v>52</v>
      </c>
      <c r="C188">
        <f t="shared" si="3"/>
        <v>19</v>
      </c>
      <c r="D188" s="40">
        <v>2.35746871016E-3</v>
      </c>
      <c r="E188">
        <v>0.01</v>
      </c>
    </row>
    <row r="189" spans="1:5" hidden="1" x14ac:dyDescent="0.2">
      <c r="A189">
        <v>36</v>
      </c>
      <c r="B189" t="s">
        <v>52</v>
      </c>
      <c r="C189">
        <f t="shared" si="3"/>
        <v>20</v>
      </c>
      <c r="D189" s="40">
        <v>2.0877518740700001E-3</v>
      </c>
      <c r="E189">
        <v>4.0000000000000001E-3</v>
      </c>
    </row>
    <row r="190" spans="1:5" hidden="1" x14ac:dyDescent="0.2">
      <c r="A190">
        <v>36</v>
      </c>
      <c r="B190" t="s">
        <v>52</v>
      </c>
      <c r="C190">
        <f t="shared" si="3"/>
        <v>21</v>
      </c>
      <c r="D190" s="40">
        <v>1.85052020062E-3</v>
      </c>
      <c r="E190">
        <v>8.0000000000000002E-3</v>
      </c>
    </row>
    <row r="191" spans="1:5" hidden="1" x14ac:dyDescent="0.2">
      <c r="A191">
        <v>36</v>
      </c>
      <c r="B191" t="s">
        <v>52</v>
      </c>
      <c r="C191">
        <f t="shared" si="3"/>
        <v>22</v>
      </c>
      <c r="D191" s="40">
        <v>1.64207726263E-3</v>
      </c>
      <c r="E191">
        <v>8.9999999999999993E-3</v>
      </c>
    </row>
    <row r="192" spans="1:5" hidden="1" x14ac:dyDescent="0.2">
      <c r="A192">
        <v>36</v>
      </c>
      <c r="B192" t="s">
        <v>52</v>
      </c>
      <c r="C192">
        <f t="shared" si="3"/>
        <v>23</v>
      </c>
      <c r="D192" s="40">
        <v>1.4589823491599999E-3</v>
      </c>
      <c r="E192">
        <v>6.0000000000000001E-3</v>
      </c>
    </row>
    <row r="193" spans="1:5" hidden="1" x14ac:dyDescent="0.2">
      <c r="A193">
        <v>36</v>
      </c>
      <c r="B193" t="s">
        <v>52</v>
      </c>
      <c r="C193">
        <f t="shared" si="3"/>
        <v>24</v>
      </c>
      <c r="D193" s="40">
        <v>1.29811284307E-3</v>
      </c>
      <c r="E193">
        <v>6.0000000000000001E-3</v>
      </c>
    </row>
    <row r="194" spans="1:5" hidden="1" x14ac:dyDescent="0.2">
      <c r="A194">
        <v>36</v>
      </c>
      <c r="B194" t="s">
        <v>52</v>
      </c>
      <c r="C194">
        <f t="shared" si="3"/>
        <v>25</v>
      </c>
      <c r="D194" s="40">
        <v>1.1566804624499999E-3</v>
      </c>
      <c r="E194">
        <v>7.0000000000000001E-3</v>
      </c>
    </row>
    <row r="195" spans="1:5" hidden="1" x14ac:dyDescent="0.2">
      <c r="A195">
        <v>36</v>
      </c>
      <c r="B195" t="s">
        <v>52</v>
      </c>
      <c r="C195">
        <f t="shared" si="3"/>
        <v>26</v>
      </c>
      <c r="D195" s="40">
        <v>1.0322219871199999E-3</v>
      </c>
      <c r="E195">
        <v>5.0000000000000001E-3</v>
      </c>
    </row>
    <row r="196" spans="1:5" hidden="1" x14ac:dyDescent="0.2">
      <c r="A196">
        <v>36</v>
      </c>
      <c r="B196" t="s">
        <v>52</v>
      </c>
      <c r="C196">
        <f t="shared" si="3"/>
        <v>27</v>
      </c>
      <c r="D196" s="40">
        <v>9.2257683937299996E-4</v>
      </c>
      <c r="E196">
        <v>4.0000000000000001E-3</v>
      </c>
    </row>
    <row r="197" spans="1:5" hidden="1" x14ac:dyDescent="0.2">
      <c r="A197">
        <v>36</v>
      </c>
      <c r="B197" t="s">
        <v>52</v>
      </c>
      <c r="C197">
        <f t="shared" si="3"/>
        <v>28</v>
      </c>
      <c r="D197" s="40">
        <v>8.2585883900100003E-4</v>
      </c>
      <c r="E197">
        <v>8.9999999999999993E-3</v>
      </c>
    </row>
    <row r="198" spans="1:5" hidden="1" x14ac:dyDescent="0.2">
      <c r="A198">
        <v>36</v>
      </c>
      <c r="B198" t="s">
        <v>52</v>
      </c>
      <c r="C198">
        <f t="shared" si="3"/>
        <v>29</v>
      </c>
      <c r="D198" s="40">
        <v>7.4042636831899995E-4</v>
      </c>
      <c r="E198">
        <v>4.0000000000000001E-3</v>
      </c>
    </row>
    <row r="199" spans="1:5" hidden="1" x14ac:dyDescent="0.2">
      <c r="A199">
        <v>36</v>
      </c>
      <c r="B199" t="s">
        <v>52</v>
      </c>
      <c r="C199">
        <f t="shared" si="3"/>
        <v>30</v>
      </c>
      <c r="D199" s="40">
        <v>6.6485330530799999E-4</v>
      </c>
      <c r="E199">
        <v>8.0000000000000002E-3</v>
      </c>
    </row>
    <row r="200" spans="1:5" hidden="1" x14ac:dyDescent="0.2">
      <c r="A200">
        <v>36</v>
      </c>
      <c r="B200" t="s">
        <v>52</v>
      </c>
      <c r="C200">
        <f t="shared" si="3"/>
        <v>31</v>
      </c>
      <c r="D200" s="40">
        <v>5.9790194972599996E-4</v>
      </c>
      <c r="E200">
        <v>7.0000000000000001E-3</v>
      </c>
    </row>
    <row r="201" spans="1:5" hidden="1" x14ac:dyDescent="0.2">
      <c r="A201">
        <v>36</v>
      </c>
      <c r="B201" t="s">
        <v>52</v>
      </c>
      <c r="C201">
        <f t="shared" si="3"/>
        <v>32</v>
      </c>
      <c r="D201" s="40">
        <v>5.3849849177199996E-4</v>
      </c>
      <c r="E201">
        <v>5.0000000000000001E-3</v>
      </c>
    </row>
    <row r="202" spans="1:5" hidden="1" x14ac:dyDescent="0.2">
      <c r="A202">
        <v>36</v>
      </c>
      <c r="B202" t="s">
        <v>52</v>
      </c>
      <c r="C202">
        <f t="shared" si="3"/>
        <v>33</v>
      </c>
      <c r="D202" s="40">
        <v>4.8571117978499998E-4</v>
      </c>
      <c r="E202">
        <v>6.0000000000000001E-3</v>
      </c>
    </row>
    <row r="203" spans="1:5" hidden="1" x14ac:dyDescent="0.2">
      <c r="A203">
        <v>36</v>
      </c>
      <c r="B203" t="s">
        <v>52</v>
      </c>
      <c r="C203">
        <f t="shared" si="3"/>
        <v>34</v>
      </c>
      <c r="D203" s="40">
        <v>4.3873112315E-4</v>
      </c>
      <c r="E203">
        <v>8.0000000000000002E-3</v>
      </c>
    </row>
    <row r="204" spans="1:5" hidden="1" x14ac:dyDescent="0.2">
      <c r="A204">
        <v>36</v>
      </c>
      <c r="B204" t="s">
        <v>52</v>
      </c>
      <c r="C204">
        <f t="shared" si="3"/>
        <v>35</v>
      </c>
      <c r="D204" s="40">
        <v>3.9685555127700001E-4</v>
      </c>
      <c r="E204">
        <v>7.0000000000000001E-3</v>
      </c>
    </row>
    <row r="205" spans="1:5" hidden="1" x14ac:dyDescent="0.2">
      <c r="A205">
        <v>36</v>
      </c>
      <c r="B205" t="s">
        <v>52</v>
      </c>
      <c r="C205">
        <f t="shared" si="3"/>
        <v>36</v>
      </c>
      <c r="D205" s="40">
        <v>3.5947329719400001E-4</v>
      </c>
      <c r="E205">
        <v>5.0000000000000001E-3</v>
      </c>
    </row>
    <row r="206" spans="1:5" hidden="1" x14ac:dyDescent="0.2">
      <c r="A206">
        <v>36</v>
      </c>
      <c r="B206" t="s">
        <v>53</v>
      </c>
      <c r="C206">
        <v>1</v>
      </c>
      <c r="D206" s="40">
        <v>0</v>
      </c>
      <c r="E206">
        <v>5.0000000000000001E-3</v>
      </c>
    </row>
    <row r="207" spans="1:5" hidden="1" x14ac:dyDescent="0.2">
      <c r="A207">
        <v>36</v>
      </c>
      <c r="B207" t="s">
        <v>53</v>
      </c>
      <c r="C207">
        <f>C206+1</f>
        <v>2</v>
      </c>
      <c r="D207" s="40">
        <v>0</v>
      </c>
      <c r="E207">
        <v>8.0000000000000002E-3</v>
      </c>
    </row>
    <row r="208" spans="1:5" hidden="1" x14ac:dyDescent="0.2">
      <c r="A208">
        <v>36</v>
      </c>
      <c r="B208" t="s">
        <v>53</v>
      </c>
      <c r="C208">
        <f t="shared" ref="C208:C241" si="4">C207+1</f>
        <v>3</v>
      </c>
      <c r="D208" s="40">
        <v>2.45470037277E-6</v>
      </c>
      <c r="E208">
        <v>6.0000000000000001E-3</v>
      </c>
    </row>
    <row r="209" spans="1:5" hidden="1" x14ac:dyDescent="0.2">
      <c r="A209">
        <v>36</v>
      </c>
      <c r="B209" t="s">
        <v>53</v>
      </c>
      <c r="C209">
        <f t="shared" si="4"/>
        <v>4</v>
      </c>
      <c r="D209" s="40">
        <v>2.15733748001E-4</v>
      </c>
      <c r="E209">
        <v>5.0000000000000001E-3</v>
      </c>
    </row>
    <row r="210" spans="1:5" hidden="1" x14ac:dyDescent="0.2">
      <c r="A210">
        <v>36</v>
      </c>
      <c r="B210" t="s">
        <v>53</v>
      </c>
      <c r="C210">
        <f t="shared" si="4"/>
        <v>5</v>
      </c>
      <c r="D210" s="40">
        <v>1.16659092595E-3</v>
      </c>
      <c r="E210">
        <v>8.0000000000000002E-3</v>
      </c>
    </row>
    <row r="211" spans="1:5" hidden="1" x14ac:dyDescent="0.2">
      <c r="A211">
        <v>36</v>
      </c>
      <c r="B211" t="s">
        <v>53</v>
      </c>
      <c r="C211">
        <f t="shared" si="4"/>
        <v>6</v>
      </c>
      <c r="D211" s="40">
        <v>2.6904367213199999E-3</v>
      </c>
      <c r="E211">
        <v>5.0000000000000001E-3</v>
      </c>
    </row>
    <row r="212" spans="1:5" hidden="1" x14ac:dyDescent="0.2">
      <c r="A212">
        <v>36</v>
      </c>
      <c r="B212" t="s">
        <v>53</v>
      </c>
      <c r="C212">
        <f t="shared" si="4"/>
        <v>7</v>
      </c>
      <c r="D212" s="40">
        <v>4.2291717057299999E-3</v>
      </c>
      <c r="E212">
        <v>7.0000000000000001E-3</v>
      </c>
    </row>
    <row r="213" spans="1:5" hidden="1" x14ac:dyDescent="0.2">
      <c r="A213">
        <v>36</v>
      </c>
      <c r="B213" t="s">
        <v>53</v>
      </c>
      <c r="C213">
        <f t="shared" si="4"/>
        <v>8</v>
      </c>
      <c r="D213" s="40">
        <v>5.4095916729799999E-3</v>
      </c>
      <c r="E213">
        <v>5.0000000000000001E-3</v>
      </c>
    </row>
    <row r="214" spans="1:5" hidden="1" x14ac:dyDescent="0.2">
      <c r="A214">
        <v>36</v>
      </c>
      <c r="B214" t="s">
        <v>53</v>
      </c>
      <c r="C214">
        <f t="shared" si="4"/>
        <v>9</v>
      </c>
      <c r="D214" s="40">
        <v>6.1181078632100002E-3</v>
      </c>
      <c r="E214">
        <v>4.0000000000000001E-3</v>
      </c>
    </row>
    <row r="215" spans="1:5" hidden="1" x14ac:dyDescent="0.2">
      <c r="A215">
        <v>36</v>
      </c>
      <c r="B215" t="s">
        <v>53</v>
      </c>
      <c r="C215">
        <f t="shared" si="4"/>
        <v>10</v>
      </c>
      <c r="D215" s="40">
        <v>6.3956511989699998E-3</v>
      </c>
      <c r="E215">
        <v>8.9999999999999993E-3</v>
      </c>
    </row>
    <row r="216" spans="1:5" hidden="1" x14ac:dyDescent="0.2">
      <c r="A216">
        <v>36</v>
      </c>
      <c r="B216" t="s">
        <v>53</v>
      </c>
      <c r="C216">
        <f t="shared" si="4"/>
        <v>11</v>
      </c>
      <c r="D216" s="40">
        <v>6.3419406131600001E-3</v>
      </c>
      <c r="E216">
        <v>4.0000000000000001E-3</v>
      </c>
    </row>
    <row r="217" spans="1:5" hidden="1" x14ac:dyDescent="0.2">
      <c r="A217">
        <v>36</v>
      </c>
      <c r="B217" t="s">
        <v>53</v>
      </c>
      <c r="C217">
        <f t="shared" si="4"/>
        <v>12</v>
      </c>
      <c r="D217" s="40">
        <v>6.0623347571599996E-3</v>
      </c>
      <c r="E217">
        <v>8.0000000000000002E-3</v>
      </c>
    </row>
    <row r="218" spans="1:5" hidden="1" x14ac:dyDescent="0.2">
      <c r="A218">
        <v>36</v>
      </c>
      <c r="B218" t="s">
        <v>53</v>
      </c>
      <c r="C218">
        <f t="shared" si="4"/>
        <v>13</v>
      </c>
      <c r="D218" s="40">
        <v>5.6457759363499997E-3</v>
      </c>
      <c r="E218">
        <v>7.0000000000000001E-3</v>
      </c>
    </row>
    <row r="219" spans="1:5" hidden="1" x14ac:dyDescent="0.2">
      <c r="A219">
        <v>36</v>
      </c>
      <c r="B219" t="s">
        <v>53</v>
      </c>
      <c r="C219">
        <f t="shared" si="4"/>
        <v>14</v>
      </c>
      <c r="D219" s="40">
        <v>5.1592885770600002E-3</v>
      </c>
      <c r="E219">
        <v>5.0000000000000001E-3</v>
      </c>
    </row>
    <row r="220" spans="1:5" hidden="1" x14ac:dyDescent="0.2">
      <c r="A220">
        <v>36</v>
      </c>
      <c r="B220" t="s">
        <v>53</v>
      </c>
      <c r="C220">
        <f t="shared" si="4"/>
        <v>15</v>
      </c>
      <c r="D220" s="40">
        <v>4.6496733756499998E-3</v>
      </c>
      <c r="E220">
        <v>6.0000000000000001E-3</v>
      </c>
    </row>
    <row r="221" spans="1:5" hidden="1" x14ac:dyDescent="0.2">
      <c r="A221">
        <v>36</v>
      </c>
      <c r="B221" t="s">
        <v>53</v>
      </c>
      <c r="C221">
        <f t="shared" si="4"/>
        <v>16</v>
      </c>
      <c r="D221" s="40">
        <v>4.1475422787000003E-3</v>
      </c>
      <c r="E221">
        <v>0.01</v>
      </c>
    </row>
    <row r="222" spans="1:5" hidden="1" x14ac:dyDescent="0.2">
      <c r="A222">
        <v>36</v>
      </c>
      <c r="B222" t="s">
        <v>53</v>
      </c>
      <c r="C222">
        <f t="shared" si="4"/>
        <v>17</v>
      </c>
      <c r="D222" s="40">
        <v>3.6715221920400002E-3</v>
      </c>
      <c r="E222">
        <v>0.01</v>
      </c>
    </row>
    <row r="223" spans="1:5" hidden="1" x14ac:dyDescent="0.2">
      <c r="A223">
        <v>36</v>
      </c>
      <c r="B223" t="s">
        <v>53</v>
      </c>
      <c r="C223">
        <f t="shared" si="4"/>
        <v>18</v>
      </c>
      <c r="D223" s="40">
        <v>3.2318238269100001E-3</v>
      </c>
      <c r="E223">
        <v>5.0000000000000001E-3</v>
      </c>
    </row>
    <row r="224" spans="1:5" hidden="1" x14ac:dyDescent="0.2">
      <c r="A224">
        <v>36</v>
      </c>
      <c r="B224" t="s">
        <v>53</v>
      </c>
      <c r="C224">
        <f t="shared" si="4"/>
        <v>19</v>
      </c>
      <c r="D224" s="40">
        <v>2.8329966139300001E-3</v>
      </c>
      <c r="E224">
        <v>8.9999999999999993E-3</v>
      </c>
    </row>
    <row r="225" spans="1:5" hidden="1" x14ac:dyDescent="0.2">
      <c r="A225">
        <v>36</v>
      </c>
      <c r="B225" t="s">
        <v>53</v>
      </c>
      <c r="C225">
        <f t="shared" si="4"/>
        <v>20</v>
      </c>
      <c r="D225" s="40">
        <v>2.4759398147599998E-3</v>
      </c>
      <c r="E225">
        <v>4.0000000000000001E-3</v>
      </c>
    </row>
    <row r="226" spans="1:5" hidden="1" x14ac:dyDescent="0.2">
      <c r="A226">
        <v>36</v>
      </c>
      <c r="B226" t="s">
        <v>53</v>
      </c>
      <c r="C226">
        <f t="shared" si="4"/>
        <v>21</v>
      </c>
      <c r="D226" s="40">
        <v>2.1593153926299999E-3</v>
      </c>
      <c r="E226">
        <v>7.0000000000000001E-3</v>
      </c>
    </row>
    <row r="227" spans="1:5" hidden="1" x14ac:dyDescent="0.2">
      <c r="A227">
        <v>36</v>
      </c>
      <c r="B227" t="s">
        <v>53</v>
      </c>
      <c r="C227">
        <f t="shared" si="4"/>
        <v>22</v>
      </c>
      <c r="D227" s="40">
        <v>1.88051078661E-3</v>
      </c>
      <c r="E227">
        <v>4.0000000000000001E-3</v>
      </c>
    </row>
    <row r="228" spans="1:5" hidden="1" x14ac:dyDescent="0.2">
      <c r="A228">
        <v>36</v>
      </c>
      <c r="B228" t="s">
        <v>53</v>
      </c>
      <c r="C228">
        <f t="shared" si="4"/>
        <v>23</v>
      </c>
      <c r="D228" s="40">
        <v>1.63627670754E-3</v>
      </c>
      <c r="E228">
        <v>0.01</v>
      </c>
    </row>
    <row r="229" spans="1:5" hidden="1" x14ac:dyDescent="0.2">
      <c r="A229">
        <v>36</v>
      </c>
      <c r="B229" t="s">
        <v>53</v>
      </c>
      <c r="C229">
        <f t="shared" si="4"/>
        <v>24</v>
      </c>
      <c r="D229" s="40">
        <v>1.4231369357600001E-3</v>
      </c>
      <c r="E229">
        <v>4.0000000000000001E-3</v>
      </c>
    </row>
    <row r="230" spans="1:5" hidden="1" x14ac:dyDescent="0.2">
      <c r="A230">
        <v>36</v>
      </c>
      <c r="B230" t="s">
        <v>53</v>
      </c>
      <c r="C230">
        <f t="shared" si="4"/>
        <v>25</v>
      </c>
      <c r="D230" s="40">
        <v>1.23764172601E-3</v>
      </c>
      <c r="E230">
        <v>8.0000000000000002E-3</v>
      </c>
    </row>
    <row r="231" spans="1:5" hidden="1" x14ac:dyDescent="0.2">
      <c r="A231">
        <v>36</v>
      </c>
      <c r="B231" t="s">
        <v>53</v>
      </c>
      <c r="C231">
        <f t="shared" si="4"/>
        <v>26</v>
      </c>
      <c r="D231" s="40">
        <v>1.0765160707500001E-3</v>
      </c>
      <c r="E231">
        <v>8.9999999999999993E-3</v>
      </c>
    </row>
    <row r="232" spans="1:5" hidden="1" x14ac:dyDescent="0.2">
      <c r="A232">
        <v>36</v>
      </c>
      <c r="B232" t="s">
        <v>53</v>
      </c>
      <c r="C232">
        <f t="shared" si="4"/>
        <v>27</v>
      </c>
      <c r="D232" s="40">
        <v>9.3673870780699997E-4</v>
      </c>
      <c r="E232">
        <v>6.0000000000000001E-3</v>
      </c>
    </row>
    <row r="233" spans="1:5" hidden="1" x14ac:dyDescent="0.2">
      <c r="A233">
        <v>36</v>
      </c>
      <c r="B233" t="s">
        <v>53</v>
      </c>
      <c r="C233">
        <f t="shared" si="4"/>
        <v>28</v>
      </c>
      <c r="D233" s="40">
        <v>8.1557657300500004E-4</v>
      </c>
      <c r="E233">
        <v>6.0000000000000001E-3</v>
      </c>
    </row>
    <row r="234" spans="1:5" hidden="1" x14ac:dyDescent="0.2">
      <c r="A234">
        <v>36</v>
      </c>
      <c r="B234" t="s">
        <v>53</v>
      </c>
      <c r="C234">
        <f t="shared" si="4"/>
        <v>29</v>
      </c>
      <c r="D234" s="40">
        <v>7.1059144889000004E-4</v>
      </c>
      <c r="E234">
        <v>7.0000000000000001E-3</v>
      </c>
    </row>
    <row r="235" spans="1:5" hidden="1" x14ac:dyDescent="0.2">
      <c r="A235">
        <v>36</v>
      </c>
      <c r="B235" t="s">
        <v>53</v>
      </c>
      <c r="C235">
        <f t="shared" si="4"/>
        <v>30</v>
      </c>
      <c r="D235" s="40">
        <v>6.1963000650599998E-4</v>
      </c>
      <c r="E235">
        <v>5.0000000000000001E-3</v>
      </c>
    </row>
    <row r="236" spans="1:5" hidden="1" x14ac:dyDescent="0.2">
      <c r="A236">
        <v>36</v>
      </c>
      <c r="B236" t="s">
        <v>53</v>
      </c>
      <c r="C236">
        <f t="shared" si="4"/>
        <v>31</v>
      </c>
      <c r="D236" s="40">
        <v>5.4080460722600004E-4</v>
      </c>
      <c r="E236">
        <v>4.0000000000000001E-3</v>
      </c>
    </row>
    <row r="237" spans="1:5" hidden="1" x14ac:dyDescent="0.2">
      <c r="A237">
        <v>36</v>
      </c>
      <c r="B237" t="s">
        <v>53</v>
      </c>
      <c r="C237">
        <f t="shared" si="4"/>
        <v>32</v>
      </c>
      <c r="D237" s="40">
        <v>4.7246962048E-4</v>
      </c>
      <c r="E237">
        <v>8.9999999999999993E-3</v>
      </c>
    </row>
    <row r="238" spans="1:5" hidden="1" x14ac:dyDescent="0.2">
      <c r="A238">
        <v>36</v>
      </c>
      <c r="B238" t="s">
        <v>53</v>
      </c>
      <c r="C238">
        <f t="shared" si="4"/>
        <v>33</v>
      </c>
      <c r="D238" s="40">
        <v>4.1319625158699999E-4</v>
      </c>
      <c r="E238">
        <v>4.0000000000000001E-3</v>
      </c>
    </row>
    <row r="239" spans="1:5" hidden="1" x14ac:dyDescent="0.2">
      <c r="A239">
        <v>36</v>
      </c>
      <c r="B239" t="s">
        <v>53</v>
      </c>
      <c r="C239">
        <f t="shared" si="4"/>
        <v>34</v>
      </c>
      <c r="D239" s="40">
        <v>3.6174769852700001E-4</v>
      </c>
      <c r="E239">
        <v>8.0000000000000002E-3</v>
      </c>
    </row>
    <row r="240" spans="1:5" hidden="1" x14ac:dyDescent="0.2">
      <c r="A240">
        <v>36</v>
      </c>
      <c r="B240" t="s">
        <v>53</v>
      </c>
      <c r="C240">
        <f t="shared" si="4"/>
        <v>35</v>
      </c>
      <c r="D240" s="40">
        <v>3.17055682223E-4</v>
      </c>
      <c r="E240">
        <v>7.0000000000000001E-3</v>
      </c>
    </row>
    <row r="241" spans="1:5" hidden="1" x14ac:dyDescent="0.2">
      <c r="A241">
        <v>36</v>
      </c>
      <c r="B241" t="s">
        <v>53</v>
      </c>
      <c r="C241">
        <f t="shared" si="4"/>
        <v>36</v>
      </c>
      <c r="D241" s="40">
        <v>2.7819889289199998E-4</v>
      </c>
      <c r="E241">
        <v>5.0000000000000001E-3</v>
      </c>
    </row>
    <row r="242" spans="1:5" hidden="1" x14ac:dyDescent="0.2">
      <c r="A242">
        <v>36</v>
      </c>
      <c r="B242" t="s">
        <v>103</v>
      </c>
      <c r="C242">
        <v>1</v>
      </c>
      <c r="D242" s="40">
        <v>0</v>
      </c>
      <c r="E242">
        <v>0.01</v>
      </c>
    </row>
    <row r="243" spans="1:5" hidden="1" x14ac:dyDescent="0.2">
      <c r="A243">
        <v>36</v>
      </c>
      <c r="B243" t="s">
        <v>103</v>
      </c>
      <c r="C243">
        <f>C242+1</f>
        <v>2</v>
      </c>
      <c r="D243" s="40">
        <v>0</v>
      </c>
      <c r="E243">
        <v>1.6E-2</v>
      </c>
    </row>
    <row r="244" spans="1:5" hidden="1" x14ac:dyDescent="0.2">
      <c r="A244">
        <v>36</v>
      </c>
      <c r="B244" t="s">
        <v>103</v>
      </c>
      <c r="C244">
        <f t="shared" ref="C244:C277" si="5">C243+1</f>
        <v>3</v>
      </c>
      <c r="D244" s="40">
        <v>1.7906476354320002E-9</v>
      </c>
      <c r="E244">
        <v>1.2E-2</v>
      </c>
    </row>
    <row r="245" spans="1:5" hidden="1" x14ac:dyDescent="0.2">
      <c r="A245">
        <v>36</v>
      </c>
      <c r="B245" t="s">
        <v>103</v>
      </c>
      <c r="C245">
        <f t="shared" si="5"/>
        <v>4</v>
      </c>
      <c r="D245" s="40">
        <v>2.2843967548230002E-4</v>
      </c>
      <c r="E245">
        <v>0.01</v>
      </c>
    </row>
    <row r="246" spans="1:5" hidden="1" x14ac:dyDescent="0.2">
      <c r="A246">
        <v>36</v>
      </c>
      <c r="B246" t="s">
        <v>103</v>
      </c>
      <c r="C246">
        <f t="shared" si="5"/>
        <v>5</v>
      </c>
      <c r="D246" s="40">
        <v>2.9327529957209999E-3</v>
      </c>
      <c r="E246">
        <v>1.6E-2</v>
      </c>
    </row>
    <row r="247" spans="1:5" hidden="1" x14ac:dyDescent="0.2">
      <c r="A247">
        <v>36</v>
      </c>
      <c r="B247" t="s">
        <v>103</v>
      </c>
      <c r="C247">
        <f t="shared" si="5"/>
        <v>6</v>
      </c>
      <c r="D247" s="40">
        <v>8.6108027721299996E-3</v>
      </c>
      <c r="E247">
        <v>0.01</v>
      </c>
    </row>
    <row r="248" spans="1:5" hidden="1" x14ac:dyDescent="0.2">
      <c r="A248">
        <v>36</v>
      </c>
      <c r="B248" t="s">
        <v>103</v>
      </c>
      <c r="C248">
        <f t="shared" si="5"/>
        <v>7</v>
      </c>
      <c r="D248" s="40">
        <v>1.4616401932139998E-2</v>
      </c>
      <c r="E248">
        <v>1.4E-2</v>
      </c>
    </row>
    <row r="249" spans="1:5" hidden="1" x14ac:dyDescent="0.2">
      <c r="A249">
        <v>36</v>
      </c>
      <c r="B249" t="s">
        <v>103</v>
      </c>
      <c r="C249">
        <f t="shared" si="5"/>
        <v>8</v>
      </c>
      <c r="D249" s="40">
        <v>1.901820541104E-2</v>
      </c>
      <c r="E249">
        <v>0.01</v>
      </c>
    </row>
    <row r="250" spans="1:5" hidden="1" x14ac:dyDescent="0.2">
      <c r="A250">
        <v>36</v>
      </c>
      <c r="B250" t="s">
        <v>103</v>
      </c>
      <c r="C250">
        <f t="shared" si="5"/>
        <v>9</v>
      </c>
      <c r="D250" s="40">
        <v>2.133444468018E-2</v>
      </c>
      <c r="E250">
        <v>8.0000000000000002E-3</v>
      </c>
    </row>
    <row r="251" spans="1:5" hidden="1" x14ac:dyDescent="0.2">
      <c r="A251">
        <v>36</v>
      </c>
      <c r="B251" t="s">
        <v>103</v>
      </c>
      <c r="C251">
        <f t="shared" si="5"/>
        <v>10</v>
      </c>
      <c r="D251" s="40">
        <v>2.1869605394219997E-2</v>
      </c>
      <c r="E251">
        <v>1.7999999999999999E-2</v>
      </c>
    </row>
    <row r="252" spans="1:5" hidden="1" x14ac:dyDescent="0.2">
      <c r="A252">
        <v>36</v>
      </c>
      <c r="B252" t="s">
        <v>103</v>
      </c>
      <c r="C252">
        <f t="shared" si="5"/>
        <v>11</v>
      </c>
      <c r="D252" s="40">
        <v>2.1154775403990002E-2</v>
      </c>
      <c r="E252">
        <v>8.0000000000000002E-3</v>
      </c>
    </row>
    <row r="253" spans="1:5" hidden="1" x14ac:dyDescent="0.2">
      <c r="A253">
        <v>36</v>
      </c>
      <c r="B253" t="s">
        <v>103</v>
      </c>
      <c r="C253">
        <f t="shared" si="5"/>
        <v>12</v>
      </c>
      <c r="D253" s="40">
        <v>1.9684054614269999E-2</v>
      </c>
      <c r="E253">
        <v>1.6E-2</v>
      </c>
    </row>
    <row r="254" spans="1:5" hidden="1" x14ac:dyDescent="0.2">
      <c r="A254">
        <v>36</v>
      </c>
      <c r="B254" t="s">
        <v>103</v>
      </c>
      <c r="C254">
        <f t="shared" si="5"/>
        <v>13</v>
      </c>
      <c r="D254" s="40">
        <v>1.7832880300020001E-2</v>
      </c>
      <c r="E254">
        <v>1.4E-2</v>
      </c>
    </row>
    <row r="255" spans="1:5" hidden="1" x14ac:dyDescent="0.2">
      <c r="A255">
        <v>36</v>
      </c>
      <c r="B255" t="s">
        <v>103</v>
      </c>
      <c r="C255">
        <f t="shared" si="5"/>
        <v>14</v>
      </c>
      <c r="D255" s="40">
        <v>1.5856266188339997E-2</v>
      </c>
      <c r="E255">
        <v>0.01</v>
      </c>
    </row>
    <row r="256" spans="1:5" hidden="1" x14ac:dyDescent="0.2">
      <c r="A256">
        <v>36</v>
      </c>
      <c r="B256" t="s">
        <v>103</v>
      </c>
      <c r="C256">
        <f t="shared" si="5"/>
        <v>15</v>
      </c>
      <c r="D256" s="40">
        <v>1.3913076978090001E-2</v>
      </c>
      <c r="E256">
        <v>1.2E-2</v>
      </c>
    </row>
    <row r="257" spans="1:5" hidden="1" x14ac:dyDescent="0.2">
      <c r="A257">
        <v>36</v>
      </c>
      <c r="B257" t="s">
        <v>103</v>
      </c>
      <c r="C257">
        <f t="shared" si="5"/>
        <v>16</v>
      </c>
      <c r="D257" s="40">
        <v>1.209349220487E-2</v>
      </c>
      <c r="E257">
        <v>0.02</v>
      </c>
    </row>
    <row r="258" spans="1:5" hidden="1" x14ac:dyDescent="0.2">
      <c r="A258">
        <v>36</v>
      </c>
      <c r="B258" t="s">
        <v>103</v>
      </c>
      <c r="C258">
        <f t="shared" si="5"/>
        <v>17</v>
      </c>
      <c r="D258" s="40">
        <v>1.04419187055E-2</v>
      </c>
      <c r="E258">
        <v>0.02</v>
      </c>
    </row>
    <row r="259" spans="1:5" hidden="1" x14ac:dyDescent="0.2">
      <c r="A259">
        <v>36</v>
      </c>
      <c r="B259" t="s">
        <v>103</v>
      </c>
      <c r="C259">
        <f t="shared" si="5"/>
        <v>18</v>
      </c>
      <c r="D259" s="40">
        <v>8.9739041597999992E-3</v>
      </c>
      <c r="E259">
        <v>0.01</v>
      </c>
    </row>
    <row r="260" spans="1:5" hidden="1" x14ac:dyDescent="0.2">
      <c r="A260">
        <v>36</v>
      </c>
      <c r="B260" t="s">
        <v>103</v>
      </c>
      <c r="C260">
        <f t="shared" si="5"/>
        <v>19</v>
      </c>
      <c r="D260" s="40">
        <v>7.6878064296599996E-3</v>
      </c>
      <c r="E260">
        <v>1.7999999999999999E-2</v>
      </c>
    </row>
    <row r="261" spans="1:5" hidden="1" x14ac:dyDescent="0.2">
      <c r="A261">
        <v>36</v>
      </c>
      <c r="B261" t="s">
        <v>103</v>
      </c>
      <c r="C261">
        <f t="shared" si="5"/>
        <v>20</v>
      </c>
      <c r="D261" s="40">
        <v>6.5724847147200002E-3</v>
      </c>
      <c r="E261">
        <v>8.0000000000000002E-3</v>
      </c>
    </row>
    <row r="262" spans="1:5" hidden="1" x14ac:dyDescent="0.2">
      <c r="A262">
        <v>36</v>
      </c>
      <c r="B262" t="s">
        <v>103</v>
      </c>
      <c r="C262">
        <f t="shared" si="5"/>
        <v>21</v>
      </c>
      <c r="D262" s="40">
        <v>5.6121817377599997E-3</v>
      </c>
      <c r="E262">
        <v>1.4E-2</v>
      </c>
    </row>
    <row r="263" spans="1:5" hidden="1" x14ac:dyDescent="0.2">
      <c r="A263">
        <v>36</v>
      </c>
      <c r="B263" t="s">
        <v>103</v>
      </c>
      <c r="C263">
        <f t="shared" si="5"/>
        <v>22</v>
      </c>
      <c r="D263" s="40">
        <v>4.7895077578800002E-3</v>
      </c>
      <c r="E263">
        <v>8.0000000000000002E-3</v>
      </c>
    </row>
    <row r="264" spans="1:5" hidden="1" x14ac:dyDescent="0.2">
      <c r="A264">
        <v>36</v>
      </c>
      <c r="B264" t="s">
        <v>103</v>
      </c>
      <c r="C264">
        <f t="shared" si="5"/>
        <v>23</v>
      </c>
      <c r="D264" s="40">
        <v>4.0871815741200003E-3</v>
      </c>
      <c r="E264">
        <v>0.02</v>
      </c>
    </row>
    <row r="265" spans="1:5" hidden="1" x14ac:dyDescent="0.2">
      <c r="A265">
        <v>36</v>
      </c>
      <c r="B265" t="s">
        <v>103</v>
      </c>
      <c r="C265">
        <f t="shared" si="5"/>
        <v>24</v>
      </c>
      <c r="D265" s="40">
        <v>3.4889787967200001E-3</v>
      </c>
      <c r="E265">
        <v>8.0000000000000002E-3</v>
      </c>
    </row>
    <row r="266" spans="1:5" hidden="1" x14ac:dyDescent="0.2">
      <c r="A266">
        <v>36</v>
      </c>
      <c r="B266" t="s">
        <v>103</v>
      </c>
      <c r="C266">
        <f t="shared" si="5"/>
        <v>25</v>
      </c>
      <c r="D266" s="40">
        <v>2.9801877425640003E-3</v>
      </c>
      <c r="E266">
        <v>1.6E-2</v>
      </c>
    </row>
    <row r="267" spans="1:5" hidden="1" x14ac:dyDescent="0.2">
      <c r="A267">
        <v>36</v>
      </c>
      <c r="B267" t="s">
        <v>103</v>
      </c>
      <c r="C267">
        <f t="shared" si="5"/>
        <v>26</v>
      </c>
      <c r="D267" s="40">
        <v>2.5477689012239997E-3</v>
      </c>
      <c r="E267">
        <v>1.7999999999999999E-2</v>
      </c>
    </row>
    <row r="268" spans="1:5" hidden="1" x14ac:dyDescent="0.2">
      <c r="A268">
        <v>36</v>
      </c>
      <c r="B268" t="s">
        <v>103</v>
      </c>
      <c r="C268">
        <f t="shared" si="5"/>
        <v>27</v>
      </c>
      <c r="D268" s="40">
        <v>2.180343387819E-3</v>
      </c>
      <c r="E268">
        <v>1.2E-2</v>
      </c>
    </row>
    <row r="269" spans="1:5" hidden="1" x14ac:dyDescent="0.2">
      <c r="A269">
        <v>36</v>
      </c>
      <c r="B269" t="s">
        <v>103</v>
      </c>
      <c r="C269">
        <f t="shared" si="5"/>
        <v>28</v>
      </c>
      <c r="D269" s="40">
        <v>1.868089142736E-3</v>
      </c>
      <c r="E269">
        <v>1.2E-2</v>
      </c>
    </row>
    <row r="270" spans="1:5" hidden="1" x14ac:dyDescent="0.2">
      <c r="A270">
        <v>36</v>
      </c>
      <c r="B270" t="s">
        <v>103</v>
      </c>
      <c r="C270">
        <f t="shared" si="5"/>
        <v>29</v>
      </c>
      <c r="D270" s="40">
        <v>1.6025932662870001E-3</v>
      </c>
      <c r="E270">
        <v>1.4E-2</v>
      </c>
    </row>
    <row r="271" spans="1:5" hidden="1" x14ac:dyDescent="0.2">
      <c r="A271">
        <v>36</v>
      </c>
      <c r="B271" t="s">
        <v>103</v>
      </c>
      <c r="C271">
        <f t="shared" si="5"/>
        <v>30</v>
      </c>
      <c r="D271" s="40">
        <v>1.376689379118E-3</v>
      </c>
      <c r="E271">
        <v>0.01</v>
      </c>
    </row>
    <row r="272" spans="1:5" hidden="1" x14ac:dyDescent="0.2">
      <c r="A272">
        <v>36</v>
      </c>
      <c r="B272" t="s">
        <v>103</v>
      </c>
      <c r="C272">
        <f t="shared" si="5"/>
        <v>31</v>
      </c>
      <c r="D272" s="40">
        <v>1.1842965563010001E-3</v>
      </c>
      <c r="E272">
        <v>8.0000000000000002E-3</v>
      </c>
    </row>
    <row r="273" spans="1:5" hidden="1" x14ac:dyDescent="0.2">
      <c r="A273">
        <v>36</v>
      </c>
      <c r="B273" t="s">
        <v>103</v>
      </c>
      <c r="C273">
        <f t="shared" si="5"/>
        <v>32</v>
      </c>
      <c r="D273" s="40">
        <v>1.020268692309E-3</v>
      </c>
      <c r="E273">
        <v>1.7999999999999999E-2</v>
      </c>
    </row>
    <row r="274" spans="1:5" hidden="1" x14ac:dyDescent="0.2">
      <c r="A274">
        <v>36</v>
      </c>
      <c r="B274" t="s">
        <v>103</v>
      </c>
      <c r="C274">
        <f t="shared" si="5"/>
        <v>33</v>
      </c>
      <c r="D274" s="40">
        <v>8.8025845706999999E-4</v>
      </c>
      <c r="E274">
        <v>8.0000000000000002E-3</v>
      </c>
    </row>
    <row r="275" spans="1:5" hidden="1" x14ac:dyDescent="0.2">
      <c r="A275">
        <v>36</v>
      </c>
      <c r="B275" t="s">
        <v>103</v>
      </c>
      <c r="C275">
        <f t="shared" si="5"/>
        <v>34</v>
      </c>
      <c r="D275" s="40">
        <v>7.6059721335899996E-4</v>
      </c>
      <c r="E275">
        <v>1.6E-2</v>
      </c>
    </row>
    <row r="276" spans="1:5" hidden="1" x14ac:dyDescent="0.2">
      <c r="A276">
        <v>36</v>
      </c>
      <c r="B276" t="s">
        <v>103</v>
      </c>
      <c r="C276">
        <f t="shared" si="5"/>
        <v>35</v>
      </c>
      <c r="D276" s="40">
        <v>6.5819067630900003E-4</v>
      </c>
      <c r="E276">
        <v>1.4E-2</v>
      </c>
    </row>
    <row r="277" spans="1:5" hidden="1" x14ac:dyDescent="0.2">
      <c r="A277">
        <v>36</v>
      </c>
      <c r="B277" t="s">
        <v>103</v>
      </c>
      <c r="C277">
        <f t="shared" si="5"/>
        <v>36</v>
      </c>
      <c r="D277" s="40">
        <v>5.7042925125299997E-4</v>
      </c>
      <c r="E277">
        <v>0.01</v>
      </c>
    </row>
    <row r="278" spans="1:5" hidden="1" x14ac:dyDescent="0.2">
      <c r="A278">
        <v>60</v>
      </c>
      <c r="B278" t="s">
        <v>50</v>
      </c>
      <c r="C278">
        <v>1</v>
      </c>
      <c r="D278" s="40">
        <v>0</v>
      </c>
      <c r="E278">
        <v>8.0000000000000002E-3</v>
      </c>
    </row>
    <row r="279" spans="1:5" hidden="1" x14ac:dyDescent="0.2">
      <c r="A279">
        <v>60</v>
      </c>
      <c r="B279" t="s">
        <v>50</v>
      </c>
      <c r="C279">
        <f>C278+1</f>
        <v>2</v>
      </c>
      <c r="D279" s="40">
        <v>8.42562308199E-4</v>
      </c>
      <c r="E279">
        <v>0.01</v>
      </c>
    </row>
    <row r="280" spans="1:5" hidden="1" x14ac:dyDescent="0.2">
      <c r="A280">
        <v>60</v>
      </c>
      <c r="B280" t="s">
        <v>50</v>
      </c>
      <c r="C280">
        <f t="shared" ref="C280:C337" si="6">C279+1</f>
        <v>3</v>
      </c>
      <c r="D280" s="40">
        <v>6.0805157847000002E-3</v>
      </c>
      <c r="E280">
        <v>8.0000000000000002E-3</v>
      </c>
    </row>
    <row r="281" spans="1:5" hidden="1" x14ac:dyDescent="0.2">
      <c r="A281">
        <v>60</v>
      </c>
      <c r="B281" t="s">
        <v>50</v>
      </c>
      <c r="C281">
        <f t="shared" si="6"/>
        <v>4</v>
      </c>
      <c r="D281" s="40">
        <v>5.5083524536099996E-3</v>
      </c>
      <c r="E281">
        <v>8.0000000000000002E-3</v>
      </c>
    </row>
    <row r="282" spans="1:5" hidden="1" x14ac:dyDescent="0.2">
      <c r="A282">
        <v>60</v>
      </c>
      <c r="B282" t="s">
        <v>50</v>
      </c>
      <c r="C282">
        <f t="shared" si="6"/>
        <v>5</v>
      </c>
      <c r="D282" s="40">
        <v>4.8887286906599998E-3</v>
      </c>
      <c r="E282">
        <v>0.01</v>
      </c>
    </row>
    <row r="283" spans="1:5" hidden="1" x14ac:dyDescent="0.2">
      <c r="A283">
        <v>60</v>
      </c>
      <c r="B283" t="s">
        <v>50</v>
      </c>
      <c r="C283">
        <f t="shared" si="6"/>
        <v>6</v>
      </c>
      <c r="D283" s="40">
        <v>4.3687532598299999E-3</v>
      </c>
      <c r="E283">
        <v>4.0000000000000001E-3</v>
      </c>
    </row>
    <row r="284" spans="1:5" hidden="1" x14ac:dyDescent="0.2">
      <c r="A284">
        <v>60</v>
      </c>
      <c r="B284" t="s">
        <v>50</v>
      </c>
      <c r="C284">
        <f t="shared" si="6"/>
        <v>7</v>
      </c>
      <c r="D284" s="40">
        <v>3.9405431829299996E-3</v>
      </c>
      <c r="E284">
        <v>5.0000000000000001E-3</v>
      </c>
    </row>
    <row r="285" spans="1:5" hidden="1" x14ac:dyDescent="0.2">
      <c r="A285">
        <v>60</v>
      </c>
      <c r="B285" t="s">
        <v>50</v>
      </c>
      <c r="C285">
        <f t="shared" si="6"/>
        <v>8</v>
      </c>
      <c r="D285" s="40">
        <v>3.58473125338E-3</v>
      </c>
      <c r="E285">
        <v>7.0000000000000001E-3</v>
      </c>
    </row>
    <row r="286" spans="1:5" hidden="1" x14ac:dyDescent="0.2">
      <c r="A286">
        <v>60</v>
      </c>
      <c r="B286" t="s">
        <v>50</v>
      </c>
      <c r="C286">
        <f t="shared" si="6"/>
        <v>9</v>
      </c>
      <c r="D286" s="40">
        <v>3.2851242894299999E-3</v>
      </c>
      <c r="E286">
        <v>5.0000000000000001E-3</v>
      </c>
    </row>
    <row r="287" spans="1:5" hidden="1" x14ac:dyDescent="0.2">
      <c r="A287">
        <v>60</v>
      </c>
      <c r="B287" t="s">
        <v>50</v>
      </c>
      <c r="C287">
        <f t="shared" si="6"/>
        <v>10</v>
      </c>
      <c r="D287" s="40">
        <v>3.0295551068400001E-3</v>
      </c>
      <c r="E287">
        <v>8.0000000000000002E-3</v>
      </c>
    </row>
    <row r="288" spans="1:5" hidden="1" x14ac:dyDescent="0.2">
      <c r="A288">
        <v>60</v>
      </c>
      <c r="B288" t="s">
        <v>50</v>
      </c>
      <c r="C288">
        <f t="shared" si="6"/>
        <v>11</v>
      </c>
      <c r="D288" s="40">
        <v>2.8090001227899998E-3</v>
      </c>
      <c r="E288">
        <v>6.0000000000000001E-3</v>
      </c>
    </row>
    <row r="289" spans="1:5" hidden="1" x14ac:dyDescent="0.2">
      <c r="A289">
        <v>60</v>
      </c>
      <c r="B289" t="s">
        <v>50</v>
      </c>
      <c r="C289">
        <f t="shared" si="6"/>
        <v>12</v>
      </c>
      <c r="D289" s="40">
        <v>2.61670696102E-3</v>
      </c>
      <c r="E289">
        <v>5.0000000000000001E-3</v>
      </c>
    </row>
    <row r="290" spans="1:5" hidden="1" x14ac:dyDescent="0.2">
      <c r="A290">
        <v>60</v>
      </c>
      <c r="B290" t="s">
        <v>50</v>
      </c>
      <c r="C290">
        <f t="shared" si="6"/>
        <v>13</v>
      </c>
      <c r="D290" s="40">
        <v>2.44754764649E-3</v>
      </c>
      <c r="E290">
        <v>8.0000000000000002E-3</v>
      </c>
    </row>
    <row r="291" spans="1:5" hidden="1" x14ac:dyDescent="0.2">
      <c r="A291">
        <v>60</v>
      </c>
      <c r="B291" t="s">
        <v>50</v>
      </c>
      <c r="C291">
        <f t="shared" si="6"/>
        <v>14</v>
      </c>
      <c r="D291" s="40">
        <v>2.2975660893399998E-3</v>
      </c>
      <c r="E291">
        <v>5.0000000000000001E-3</v>
      </c>
    </row>
    <row r="292" spans="1:5" hidden="1" x14ac:dyDescent="0.2">
      <c r="A292">
        <v>60</v>
      </c>
      <c r="B292" t="s">
        <v>50</v>
      </c>
      <c r="C292">
        <f t="shared" si="6"/>
        <v>15</v>
      </c>
      <c r="D292" s="40">
        <v>2.1636638604799999E-3</v>
      </c>
      <c r="E292">
        <v>7.0000000000000001E-3</v>
      </c>
    </row>
    <row r="293" spans="1:5" hidden="1" x14ac:dyDescent="0.2">
      <c r="A293">
        <v>60</v>
      </c>
      <c r="B293" t="s">
        <v>50</v>
      </c>
      <c r="C293">
        <f t="shared" si="6"/>
        <v>16</v>
      </c>
      <c r="D293" s="40">
        <v>2.04338015276E-3</v>
      </c>
      <c r="E293">
        <v>5.0000000000000001E-3</v>
      </c>
    </row>
    <row r="294" spans="1:5" hidden="1" x14ac:dyDescent="0.2">
      <c r="A294">
        <v>60</v>
      </c>
      <c r="B294" t="s">
        <v>50</v>
      </c>
      <c r="C294">
        <f t="shared" si="6"/>
        <v>17</v>
      </c>
      <c r="D294" s="40">
        <v>1.9347355536300001E-3</v>
      </c>
      <c r="E294">
        <v>4.0000000000000001E-3</v>
      </c>
    </row>
    <row r="295" spans="1:5" hidden="1" x14ac:dyDescent="0.2">
      <c r="A295">
        <v>60</v>
      </c>
      <c r="B295" t="s">
        <v>50</v>
      </c>
      <c r="C295">
        <f t="shared" si="6"/>
        <v>18</v>
      </c>
      <c r="D295" s="40">
        <v>1.83611940912E-3</v>
      </c>
      <c r="E295">
        <v>8.9999999999999993E-3</v>
      </c>
    </row>
    <row r="296" spans="1:5" hidden="1" x14ac:dyDescent="0.2">
      <c r="A296">
        <v>60</v>
      </c>
      <c r="B296" t="s">
        <v>50</v>
      </c>
      <c r="C296">
        <f t="shared" si="6"/>
        <v>19</v>
      </c>
      <c r="D296" s="40">
        <v>1.7462073631200001E-3</v>
      </c>
      <c r="E296">
        <v>4.0000000000000001E-3</v>
      </c>
    </row>
    <row r="297" spans="1:5" hidden="1" x14ac:dyDescent="0.2">
      <c r="A297">
        <v>60</v>
      </c>
      <c r="B297" t="s">
        <v>50</v>
      </c>
      <c r="C297">
        <f t="shared" si="6"/>
        <v>20</v>
      </c>
      <c r="D297" s="40">
        <v>1.66390009745E-3</v>
      </c>
      <c r="E297">
        <v>8.0000000000000002E-3</v>
      </c>
    </row>
    <row r="298" spans="1:5" hidden="1" x14ac:dyDescent="0.2">
      <c r="A298">
        <v>60</v>
      </c>
      <c r="B298" t="s">
        <v>50</v>
      </c>
      <c r="C298">
        <f t="shared" si="6"/>
        <v>21</v>
      </c>
      <c r="D298" s="40">
        <v>1.5882771926199999E-3</v>
      </c>
      <c r="E298">
        <v>7.0000000000000001E-3</v>
      </c>
    </row>
    <row r="299" spans="1:5" hidden="1" x14ac:dyDescent="0.2">
      <c r="A299">
        <v>60</v>
      </c>
      <c r="B299" t="s">
        <v>50</v>
      </c>
      <c r="C299">
        <f t="shared" si="6"/>
        <v>22</v>
      </c>
      <c r="D299" s="40">
        <v>1.51856193071E-3</v>
      </c>
      <c r="E299">
        <v>5.0000000000000001E-3</v>
      </c>
    </row>
    <row r="300" spans="1:5" hidden="1" x14ac:dyDescent="0.2">
      <c r="A300">
        <v>60</v>
      </c>
      <c r="B300" t="s">
        <v>50</v>
      </c>
      <c r="C300">
        <f t="shared" si="6"/>
        <v>23</v>
      </c>
      <c r="D300" s="40">
        <v>1.4540941263599999E-3</v>
      </c>
      <c r="E300">
        <v>6.0000000000000001E-3</v>
      </c>
    </row>
    <row r="301" spans="1:5" hidden="1" x14ac:dyDescent="0.2">
      <c r="A301">
        <v>60</v>
      </c>
      <c r="B301" t="s">
        <v>50</v>
      </c>
      <c r="C301">
        <f t="shared" si="6"/>
        <v>24</v>
      </c>
      <c r="D301" s="40">
        <v>1.39430892431E-3</v>
      </c>
      <c r="E301">
        <v>0.01</v>
      </c>
    </row>
    <row r="302" spans="1:5" hidden="1" x14ac:dyDescent="0.2">
      <c r="A302">
        <v>60</v>
      </c>
      <c r="B302" t="s">
        <v>50</v>
      </c>
      <c r="C302">
        <f t="shared" si="6"/>
        <v>25</v>
      </c>
      <c r="D302" s="40">
        <v>1.3387200854800001E-3</v>
      </c>
      <c r="E302">
        <v>0.01</v>
      </c>
    </row>
    <row r="303" spans="1:5" hidden="1" x14ac:dyDescent="0.2">
      <c r="A303">
        <v>60</v>
      </c>
      <c r="B303" t="s">
        <v>50</v>
      </c>
      <c r="C303">
        <f t="shared" si="6"/>
        <v>26</v>
      </c>
      <c r="D303" s="40">
        <v>1.2869066875100001E-3</v>
      </c>
      <c r="E303">
        <v>5.0000000000000001E-3</v>
      </c>
    </row>
    <row r="304" spans="1:5" hidden="1" x14ac:dyDescent="0.2">
      <c r="A304">
        <v>60</v>
      </c>
      <c r="B304" t="s">
        <v>50</v>
      </c>
      <c r="C304">
        <f t="shared" si="6"/>
        <v>27</v>
      </c>
      <c r="D304" s="40">
        <v>1.2385024501999999E-3</v>
      </c>
      <c r="E304">
        <v>8.9999999999999993E-3</v>
      </c>
    </row>
    <row r="305" spans="1:5" hidden="1" x14ac:dyDescent="0.2">
      <c r="A305">
        <v>60</v>
      </c>
      <c r="B305" t="s">
        <v>50</v>
      </c>
      <c r="C305">
        <f t="shared" si="6"/>
        <v>28</v>
      </c>
      <c r="D305" s="40">
        <v>1.1931870986599999E-3</v>
      </c>
      <c r="E305">
        <v>4.0000000000000001E-3</v>
      </c>
    </row>
    <row r="306" spans="1:5" hidden="1" x14ac:dyDescent="0.2">
      <c r="A306">
        <v>60</v>
      </c>
      <c r="B306" t="s">
        <v>50</v>
      </c>
      <c r="C306">
        <f t="shared" si="6"/>
        <v>29</v>
      </c>
      <c r="D306" s="40">
        <v>1.1506793225E-3</v>
      </c>
      <c r="E306">
        <v>7.0000000000000001E-3</v>
      </c>
    </row>
    <row r="307" spans="1:5" hidden="1" x14ac:dyDescent="0.2">
      <c r="A307">
        <v>60</v>
      </c>
      <c r="B307" t="s">
        <v>50</v>
      </c>
      <c r="C307">
        <f t="shared" si="6"/>
        <v>30</v>
      </c>
      <c r="D307" s="40">
        <v>1.1107309961600001E-3</v>
      </c>
      <c r="E307">
        <v>4.0000000000000001E-3</v>
      </c>
    </row>
    <row r="308" spans="1:5" hidden="1" x14ac:dyDescent="0.2">
      <c r="A308">
        <v>60</v>
      </c>
      <c r="B308" t="s">
        <v>50</v>
      </c>
      <c r="C308">
        <f t="shared" si="6"/>
        <v>31</v>
      </c>
      <c r="D308" s="40">
        <v>1.0731224032300001E-3</v>
      </c>
      <c r="E308">
        <v>0.01</v>
      </c>
    </row>
    <row r="309" spans="1:5" hidden="1" x14ac:dyDescent="0.2">
      <c r="A309">
        <v>60</v>
      </c>
      <c r="B309" t="s">
        <v>50</v>
      </c>
      <c r="C309">
        <f t="shared" si="6"/>
        <v>32</v>
      </c>
      <c r="D309" s="40">
        <v>1.03765826639E-3</v>
      </c>
      <c r="E309">
        <v>4.0000000000000001E-3</v>
      </c>
    </row>
    <row r="310" spans="1:5" hidden="1" x14ac:dyDescent="0.2">
      <c r="A310">
        <v>60</v>
      </c>
      <c r="B310" t="s">
        <v>50</v>
      </c>
      <c r="C310">
        <f t="shared" si="6"/>
        <v>33</v>
      </c>
      <c r="D310" s="40">
        <v>1.0041644280099999E-3</v>
      </c>
      <c r="E310">
        <v>8.0000000000000002E-3</v>
      </c>
    </row>
    <row r="311" spans="1:5" hidden="1" x14ac:dyDescent="0.2">
      <c r="A311">
        <v>60</v>
      </c>
      <c r="B311" t="s">
        <v>50</v>
      </c>
      <c r="C311">
        <f t="shared" si="6"/>
        <v>34</v>
      </c>
      <c r="D311" s="40">
        <v>9.7248505986899999E-4</v>
      </c>
      <c r="E311">
        <v>8.9999999999999993E-3</v>
      </c>
    </row>
    <row r="312" spans="1:5" hidden="1" x14ac:dyDescent="0.2">
      <c r="A312">
        <v>60</v>
      </c>
      <c r="B312" t="s">
        <v>50</v>
      </c>
      <c r="C312">
        <f t="shared" si="6"/>
        <v>35</v>
      </c>
      <c r="D312" s="40">
        <v>9.4248030578100001E-4</v>
      </c>
      <c r="E312">
        <v>6.0000000000000001E-3</v>
      </c>
    </row>
    <row r="313" spans="1:5" hidden="1" x14ac:dyDescent="0.2">
      <c r="A313">
        <v>60</v>
      </c>
      <c r="B313" t="s">
        <v>50</v>
      </c>
      <c r="C313">
        <f t="shared" si="6"/>
        <v>36</v>
      </c>
      <c r="D313" s="40">
        <v>9.14024280363E-4</v>
      </c>
      <c r="E313">
        <v>6.0000000000000001E-3</v>
      </c>
    </row>
    <row r="314" spans="1:5" hidden="1" x14ac:dyDescent="0.2">
      <c r="A314">
        <v>60</v>
      </c>
      <c r="B314" t="s">
        <v>50</v>
      </c>
      <c r="C314">
        <f t="shared" si="6"/>
        <v>37</v>
      </c>
      <c r="D314" s="40">
        <v>8.8700336255699997E-4</v>
      </c>
      <c r="E314">
        <v>7.0000000000000001E-3</v>
      </c>
    </row>
    <row r="315" spans="1:5" hidden="1" x14ac:dyDescent="0.2">
      <c r="A315">
        <v>60</v>
      </c>
      <c r="B315" t="s">
        <v>50</v>
      </c>
      <c r="C315">
        <f t="shared" si="6"/>
        <v>38</v>
      </c>
      <c r="D315" s="40">
        <v>8.6131473424000003E-4</v>
      </c>
      <c r="E315">
        <v>5.0000000000000001E-3</v>
      </c>
    </row>
    <row r="316" spans="1:5" hidden="1" x14ac:dyDescent="0.2">
      <c r="A316">
        <v>60</v>
      </c>
      <c r="B316" t="s">
        <v>50</v>
      </c>
      <c r="C316">
        <f t="shared" si="6"/>
        <v>39</v>
      </c>
      <c r="D316" s="40">
        <v>8.3686512367999995E-4</v>
      </c>
      <c r="E316">
        <v>4.0000000000000001E-3</v>
      </c>
    </row>
    <row r="317" spans="1:5" hidden="1" x14ac:dyDescent="0.2">
      <c r="A317">
        <v>60</v>
      </c>
      <c r="B317" t="s">
        <v>50</v>
      </c>
      <c r="C317">
        <f t="shared" si="6"/>
        <v>40</v>
      </c>
      <c r="D317" s="40">
        <v>8.1356972097999997E-4</v>
      </c>
      <c r="E317">
        <v>8.9999999999999993E-3</v>
      </c>
    </row>
    <row r="318" spans="1:5" hidden="1" x14ac:dyDescent="0.2">
      <c r="A318">
        <v>60</v>
      </c>
      <c r="B318" t="s">
        <v>50</v>
      </c>
      <c r="C318">
        <f t="shared" si="6"/>
        <v>41</v>
      </c>
      <c r="D318" s="40">
        <v>7.9135123856300001E-4</v>
      </c>
      <c r="E318">
        <v>4.0000000000000001E-3</v>
      </c>
    </row>
    <row r="319" spans="1:5" hidden="1" x14ac:dyDescent="0.2">
      <c r="A319">
        <v>60</v>
      </c>
      <c r="B319" t="s">
        <v>50</v>
      </c>
      <c r="C319">
        <f t="shared" si="6"/>
        <v>42</v>
      </c>
      <c r="D319" s="40">
        <v>7.7013909449899997E-4</v>
      </c>
      <c r="E319">
        <v>8.0000000000000002E-3</v>
      </c>
    </row>
    <row r="320" spans="1:5" hidden="1" x14ac:dyDescent="0.2">
      <c r="A320">
        <v>60</v>
      </c>
      <c r="B320" t="s">
        <v>50</v>
      </c>
      <c r="C320">
        <f t="shared" si="6"/>
        <v>43</v>
      </c>
      <c r="D320" s="40">
        <v>7.4986870025500003E-4</v>
      </c>
      <c r="E320">
        <v>7.0000000000000001E-3</v>
      </c>
    </row>
    <row r="321" spans="1:5" hidden="1" x14ac:dyDescent="0.2">
      <c r="A321">
        <v>60</v>
      </c>
      <c r="B321" t="s">
        <v>50</v>
      </c>
      <c r="C321">
        <f t="shared" si="6"/>
        <v>44</v>
      </c>
      <c r="D321" s="40">
        <v>7.30480837582E-4</v>
      </c>
      <c r="E321">
        <v>5.0000000000000001E-3</v>
      </c>
    </row>
    <row r="322" spans="1:5" hidden="1" x14ac:dyDescent="0.2">
      <c r="A322">
        <v>60</v>
      </c>
      <c r="B322" t="s">
        <v>50</v>
      </c>
      <c r="C322">
        <f t="shared" si="6"/>
        <v>45</v>
      </c>
      <c r="D322" s="40">
        <v>7.1192111174599995E-4</v>
      </c>
      <c r="E322">
        <v>6.0000000000000001E-3</v>
      </c>
    </row>
    <row r="323" spans="1:5" hidden="1" x14ac:dyDescent="0.2">
      <c r="A323">
        <v>60</v>
      </c>
      <c r="B323" t="s">
        <v>50</v>
      </c>
      <c r="C323">
        <f t="shared" si="6"/>
        <v>46</v>
      </c>
      <c r="D323" s="40">
        <v>6.9413947037700002E-4</v>
      </c>
      <c r="E323">
        <v>0.01</v>
      </c>
    </row>
    <row r="324" spans="1:5" hidden="1" x14ac:dyDescent="0.2">
      <c r="A324">
        <v>60</v>
      </c>
      <c r="B324" t="s">
        <v>50</v>
      </c>
      <c r="C324">
        <f t="shared" si="6"/>
        <v>47</v>
      </c>
      <c r="D324" s="40">
        <v>6.7708977890000002E-4</v>
      </c>
      <c r="E324">
        <v>0.01</v>
      </c>
    </row>
    <row r="325" spans="1:5" hidden="1" x14ac:dyDescent="0.2">
      <c r="A325">
        <v>60</v>
      </c>
      <c r="B325" t="s">
        <v>50</v>
      </c>
      <c r="C325">
        <f t="shared" si="6"/>
        <v>48</v>
      </c>
      <c r="D325" s="40">
        <v>6.6072944492699996E-4</v>
      </c>
      <c r="E325">
        <v>5.0000000000000001E-3</v>
      </c>
    </row>
    <row r="326" spans="1:5" hidden="1" x14ac:dyDescent="0.2">
      <c r="A326">
        <v>60</v>
      </c>
      <c r="B326" t="s">
        <v>50</v>
      </c>
      <c r="C326">
        <f t="shared" si="6"/>
        <v>49</v>
      </c>
      <c r="D326" s="40">
        <v>6.4501908510800001E-4</v>
      </c>
      <c r="E326">
        <v>8.9999999999999993E-3</v>
      </c>
    </row>
    <row r="327" spans="1:5" hidden="1" x14ac:dyDescent="0.2">
      <c r="A327">
        <v>60</v>
      </c>
      <c r="B327" t="s">
        <v>50</v>
      </c>
      <c r="C327">
        <f t="shared" si="6"/>
        <v>50</v>
      </c>
      <c r="D327" s="40">
        <v>6.2992222895399996E-4</v>
      </c>
      <c r="E327">
        <v>4.0000000000000001E-3</v>
      </c>
    </row>
    <row r="328" spans="1:5" hidden="1" x14ac:dyDescent="0.2">
      <c r="A328">
        <v>60</v>
      </c>
      <c r="B328" t="s">
        <v>50</v>
      </c>
      <c r="C328">
        <f t="shared" si="6"/>
        <v>51</v>
      </c>
      <c r="D328" s="40">
        <v>6.1540505490599996E-4</v>
      </c>
      <c r="E328">
        <v>7.0000000000000001E-3</v>
      </c>
    </row>
    <row r="329" spans="1:5" hidden="1" x14ac:dyDescent="0.2">
      <c r="A329">
        <v>60</v>
      </c>
      <c r="B329" t="s">
        <v>50</v>
      </c>
      <c r="C329">
        <f t="shared" si="6"/>
        <v>52</v>
      </c>
      <c r="D329" s="40">
        <v>6.0143615462400002E-4</v>
      </c>
      <c r="E329">
        <v>4.0000000000000001E-3</v>
      </c>
    </row>
    <row r="330" spans="1:5" hidden="1" x14ac:dyDescent="0.2">
      <c r="A330">
        <v>60</v>
      </c>
      <c r="B330" t="s">
        <v>50</v>
      </c>
      <c r="C330">
        <f t="shared" si="6"/>
        <v>53</v>
      </c>
      <c r="D330" s="40">
        <v>5.8798632202999997E-4</v>
      </c>
      <c r="E330">
        <v>0.01</v>
      </c>
    </row>
    <row r="331" spans="1:5" hidden="1" x14ac:dyDescent="0.2">
      <c r="A331">
        <v>60</v>
      </c>
      <c r="B331" t="s">
        <v>50</v>
      </c>
      <c r="C331">
        <f t="shared" si="6"/>
        <v>54</v>
      </c>
      <c r="D331" s="40">
        <v>5.7502836411400002E-4</v>
      </c>
      <c r="E331">
        <v>0.01</v>
      </c>
    </row>
    <row r="332" spans="1:5" hidden="1" x14ac:dyDescent="0.2">
      <c r="A332">
        <v>60</v>
      </c>
      <c r="B332" t="s">
        <v>50</v>
      </c>
      <c r="C332">
        <f t="shared" si="6"/>
        <v>55</v>
      </c>
      <c r="D332" s="40">
        <v>5.6253693093300005E-4</v>
      </c>
      <c r="E332">
        <v>5.0000000000000001E-3</v>
      </c>
    </row>
    <row r="333" spans="1:5" hidden="1" x14ac:dyDescent="0.2">
      <c r="A333">
        <v>60</v>
      </c>
      <c r="B333" t="s">
        <v>50</v>
      </c>
      <c r="C333">
        <f t="shared" si="6"/>
        <v>56</v>
      </c>
      <c r="D333" s="40">
        <v>5.5048836255200005E-4</v>
      </c>
      <c r="E333">
        <v>8.9999999999999993E-3</v>
      </c>
    </row>
    <row r="334" spans="1:5" hidden="1" x14ac:dyDescent="0.2">
      <c r="A334">
        <v>60</v>
      </c>
      <c r="B334" t="s">
        <v>50</v>
      </c>
      <c r="C334">
        <f t="shared" si="6"/>
        <v>57</v>
      </c>
      <c r="D334" s="40">
        <v>5.3886055099400005E-4</v>
      </c>
      <c r="E334">
        <v>4.0000000000000001E-3</v>
      </c>
    </row>
    <row r="335" spans="1:5" hidden="1" x14ac:dyDescent="0.2">
      <c r="A335">
        <v>60</v>
      </c>
      <c r="B335" t="s">
        <v>50</v>
      </c>
      <c r="C335">
        <f t="shared" si="6"/>
        <v>58</v>
      </c>
      <c r="D335" s="40">
        <v>5.2763281551399996E-4</v>
      </c>
      <c r="E335">
        <v>7.0000000000000001E-3</v>
      </c>
    </row>
    <row r="336" spans="1:5" hidden="1" x14ac:dyDescent="0.2">
      <c r="A336">
        <v>60</v>
      </c>
      <c r="B336" t="s">
        <v>50</v>
      </c>
      <c r="C336">
        <f t="shared" si="6"/>
        <v>59</v>
      </c>
      <c r="D336" s="40">
        <v>5.16785789695E-4</v>
      </c>
      <c r="E336">
        <v>4.0000000000000001E-3</v>
      </c>
    </row>
    <row r="337" spans="1:5" hidden="1" x14ac:dyDescent="0.2">
      <c r="A337">
        <v>60</v>
      </c>
      <c r="B337" t="s">
        <v>50</v>
      </c>
      <c r="C337">
        <f t="shared" si="6"/>
        <v>60</v>
      </c>
      <c r="D337" s="40">
        <v>5.0630131910800002E-4</v>
      </c>
      <c r="E337">
        <v>0.01</v>
      </c>
    </row>
    <row r="338" spans="1:5" hidden="1" x14ac:dyDescent="0.2">
      <c r="A338">
        <v>60</v>
      </c>
      <c r="B338" t="s">
        <v>51</v>
      </c>
      <c r="C338">
        <v>1</v>
      </c>
      <c r="D338" s="40">
        <v>0</v>
      </c>
      <c r="E338">
        <v>8.0000000000000002E-3</v>
      </c>
    </row>
    <row r="339" spans="1:5" hidden="1" x14ac:dyDescent="0.2">
      <c r="A339">
        <v>60</v>
      </c>
      <c r="B339" t="s">
        <v>51</v>
      </c>
      <c r="C339">
        <f>C338+1</f>
        <v>2</v>
      </c>
      <c r="D339" s="40">
        <v>0</v>
      </c>
      <c r="E339">
        <v>0.01</v>
      </c>
    </row>
    <row r="340" spans="1:5" hidden="1" x14ac:dyDescent="0.2">
      <c r="A340">
        <v>60</v>
      </c>
      <c r="B340" t="s">
        <v>51</v>
      </c>
      <c r="C340">
        <f t="shared" ref="C340:C397" si="7">C339+1</f>
        <v>3</v>
      </c>
      <c r="D340" s="40">
        <v>1.37285132589E-2</v>
      </c>
      <c r="E340">
        <v>8.0000000000000002E-3</v>
      </c>
    </row>
    <row r="341" spans="1:5" hidden="1" x14ac:dyDescent="0.2">
      <c r="A341">
        <v>60</v>
      </c>
      <c r="B341" t="s">
        <v>51</v>
      </c>
      <c r="C341">
        <f t="shared" si="7"/>
        <v>4</v>
      </c>
      <c r="D341" s="40">
        <v>9.1127161029500008E-3</v>
      </c>
      <c r="E341">
        <v>8.0000000000000002E-3</v>
      </c>
    </row>
    <row r="342" spans="1:5" hidden="1" x14ac:dyDescent="0.2">
      <c r="A342">
        <v>60</v>
      </c>
      <c r="B342" t="s">
        <v>51</v>
      </c>
      <c r="C342">
        <f t="shared" si="7"/>
        <v>5</v>
      </c>
      <c r="D342" s="40">
        <v>6.9233321347400003E-3</v>
      </c>
      <c r="E342">
        <v>0.01</v>
      </c>
    </row>
    <row r="343" spans="1:5" hidden="1" x14ac:dyDescent="0.2">
      <c r="A343">
        <v>60</v>
      </c>
      <c r="B343" t="s">
        <v>51</v>
      </c>
      <c r="C343">
        <f t="shared" si="7"/>
        <v>6</v>
      </c>
      <c r="D343" s="40">
        <v>5.6057119881399997E-3</v>
      </c>
      <c r="E343">
        <v>4.0000000000000001E-3</v>
      </c>
    </row>
    <row r="344" spans="1:5" hidden="1" x14ac:dyDescent="0.2">
      <c r="A344">
        <v>60</v>
      </c>
      <c r="B344" t="s">
        <v>51</v>
      </c>
      <c r="C344">
        <f t="shared" si="7"/>
        <v>7</v>
      </c>
      <c r="D344" s="40">
        <v>4.7139336922200001E-3</v>
      </c>
      <c r="E344">
        <v>5.0000000000000001E-3</v>
      </c>
    </row>
    <row r="345" spans="1:5" hidden="1" x14ac:dyDescent="0.2">
      <c r="A345">
        <v>60</v>
      </c>
      <c r="B345" t="s">
        <v>51</v>
      </c>
      <c r="C345">
        <f t="shared" si="7"/>
        <v>8</v>
      </c>
      <c r="D345" s="40">
        <v>4.0659751708699999E-3</v>
      </c>
      <c r="E345">
        <v>7.0000000000000001E-3</v>
      </c>
    </row>
    <row r="346" spans="1:5" hidden="1" x14ac:dyDescent="0.2">
      <c r="A346">
        <v>60</v>
      </c>
      <c r="B346" t="s">
        <v>51</v>
      </c>
      <c r="C346">
        <f t="shared" si="7"/>
        <v>9</v>
      </c>
      <c r="D346" s="40">
        <v>3.5720480061100001E-3</v>
      </c>
      <c r="E346">
        <v>5.0000000000000001E-3</v>
      </c>
    </row>
    <row r="347" spans="1:5" hidden="1" x14ac:dyDescent="0.2">
      <c r="A347">
        <v>60</v>
      </c>
      <c r="B347" t="s">
        <v>51</v>
      </c>
      <c r="C347">
        <f t="shared" si="7"/>
        <v>10</v>
      </c>
      <c r="D347" s="40">
        <v>3.1822222903499999E-3</v>
      </c>
      <c r="E347">
        <v>8.0000000000000002E-3</v>
      </c>
    </row>
    <row r="348" spans="1:5" hidden="1" x14ac:dyDescent="0.2">
      <c r="A348">
        <v>60</v>
      </c>
      <c r="B348" t="s">
        <v>51</v>
      </c>
      <c r="C348">
        <f t="shared" si="7"/>
        <v>11</v>
      </c>
      <c r="D348" s="40">
        <v>2.86631676813E-3</v>
      </c>
      <c r="E348">
        <v>6.0000000000000001E-3</v>
      </c>
    </row>
    <row r="349" spans="1:5" hidden="1" x14ac:dyDescent="0.2">
      <c r="A349">
        <v>60</v>
      </c>
      <c r="B349" t="s">
        <v>51</v>
      </c>
      <c r="C349">
        <f t="shared" si="7"/>
        <v>12</v>
      </c>
      <c r="D349" s="40">
        <v>2.6049255527599998E-3</v>
      </c>
      <c r="E349">
        <v>5.0000000000000001E-3</v>
      </c>
    </row>
    <row r="350" spans="1:5" hidden="1" x14ac:dyDescent="0.2">
      <c r="A350">
        <v>60</v>
      </c>
      <c r="B350" t="s">
        <v>51</v>
      </c>
      <c r="C350">
        <f t="shared" si="7"/>
        <v>13</v>
      </c>
      <c r="D350" s="40">
        <v>2.38496142666E-3</v>
      </c>
      <c r="E350">
        <v>8.0000000000000002E-3</v>
      </c>
    </row>
    <row r="351" spans="1:5" hidden="1" x14ac:dyDescent="0.2">
      <c r="A351">
        <v>60</v>
      </c>
      <c r="B351" t="s">
        <v>51</v>
      </c>
      <c r="C351">
        <f t="shared" si="7"/>
        <v>14</v>
      </c>
      <c r="D351" s="40">
        <v>2.1972562423100001E-3</v>
      </c>
      <c r="E351">
        <v>5.0000000000000001E-3</v>
      </c>
    </row>
    <row r="352" spans="1:5" hidden="1" x14ac:dyDescent="0.2">
      <c r="A352">
        <v>60</v>
      </c>
      <c r="B352" t="s">
        <v>51</v>
      </c>
      <c r="C352">
        <f t="shared" si="7"/>
        <v>15</v>
      </c>
      <c r="D352" s="40">
        <v>2.03518451825E-3</v>
      </c>
      <c r="E352">
        <v>7.0000000000000001E-3</v>
      </c>
    </row>
    <row r="353" spans="1:5" hidden="1" x14ac:dyDescent="0.2">
      <c r="A353">
        <v>60</v>
      </c>
      <c r="B353" t="s">
        <v>51</v>
      </c>
      <c r="C353">
        <f t="shared" si="7"/>
        <v>16</v>
      </c>
      <c r="D353" s="40">
        <v>1.8938325768400001E-3</v>
      </c>
      <c r="E353">
        <v>5.0000000000000001E-3</v>
      </c>
    </row>
    <row r="354" spans="1:5" hidden="1" x14ac:dyDescent="0.2">
      <c r="A354">
        <v>60</v>
      </c>
      <c r="B354" t="s">
        <v>51</v>
      </c>
      <c r="C354">
        <f t="shared" si="7"/>
        <v>17</v>
      </c>
      <c r="D354" s="40">
        <v>1.7694754076599999E-3</v>
      </c>
      <c r="E354">
        <v>4.0000000000000001E-3</v>
      </c>
    </row>
    <row r="355" spans="1:5" hidden="1" x14ac:dyDescent="0.2">
      <c r="A355">
        <v>60</v>
      </c>
      <c r="B355" t="s">
        <v>51</v>
      </c>
      <c r="C355">
        <f t="shared" si="7"/>
        <v>18</v>
      </c>
      <c r="D355" s="40">
        <v>1.6592354089299999E-3</v>
      </c>
      <c r="E355">
        <v>8.9999999999999993E-3</v>
      </c>
    </row>
    <row r="356" spans="1:5" hidden="1" x14ac:dyDescent="0.2">
      <c r="A356">
        <v>60</v>
      </c>
      <c r="B356" t="s">
        <v>51</v>
      </c>
      <c r="C356">
        <f t="shared" si="7"/>
        <v>19</v>
      </c>
      <c r="D356" s="40">
        <v>1.5608529449E-3</v>
      </c>
      <c r="E356">
        <v>4.0000000000000001E-3</v>
      </c>
    </row>
    <row r="357" spans="1:5" hidden="1" x14ac:dyDescent="0.2">
      <c r="A357">
        <v>60</v>
      </c>
      <c r="B357" t="s">
        <v>51</v>
      </c>
      <c r="C357">
        <f t="shared" si="7"/>
        <v>20</v>
      </c>
      <c r="D357" s="40">
        <v>1.47252800342E-3</v>
      </c>
      <c r="E357">
        <v>8.0000000000000002E-3</v>
      </c>
    </row>
    <row r="358" spans="1:5" hidden="1" x14ac:dyDescent="0.2">
      <c r="A358">
        <v>60</v>
      </c>
      <c r="B358" t="s">
        <v>51</v>
      </c>
      <c r="C358">
        <f t="shared" si="7"/>
        <v>21</v>
      </c>
      <c r="D358" s="40">
        <v>1.3928084030999999E-3</v>
      </c>
      <c r="E358">
        <v>7.0000000000000001E-3</v>
      </c>
    </row>
    <row r="359" spans="1:5" hidden="1" x14ac:dyDescent="0.2">
      <c r="A359">
        <v>60</v>
      </c>
      <c r="B359" t="s">
        <v>51</v>
      </c>
      <c r="C359">
        <f t="shared" si="7"/>
        <v>22</v>
      </c>
      <c r="D359" s="40">
        <v>1.3205092657700001E-3</v>
      </c>
      <c r="E359">
        <v>5.0000000000000001E-3</v>
      </c>
    </row>
    <row r="360" spans="1:5" hidden="1" x14ac:dyDescent="0.2">
      <c r="A360">
        <v>60</v>
      </c>
      <c r="B360" t="s">
        <v>51</v>
      </c>
      <c r="C360">
        <f t="shared" si="7"/>
        <v>23</v>
      </c>
      <c r="D360" s="40">
        <v>1.25465396744E-3</v>
      </c>
      <c r="E360">
        <v>6.0000000000000001E-3</v>
      </c>
    </row>
    <row r="361" spans="1:5" hidden="1" x14ac:dyDescent="0.2">
      <c r="A361">
        <v>60</v>
      </c>
      <c r="B361" t="s">
        <v>51</v>
      </c>
      <c r="C361">
        <f t="shared" si="7"/>
        <v>24</v>
      </c>
      <c r="D361" s="40">
        <v>1.1944301436300001E-3</v>
      </c>
      <c r="E361">
        <v>0.01</v>
      </c>
    </row>
    <row r="362" spans="1:5" hidden="1" x14ac:dyDescent="0.2">
      <c r="A362">
        <v>60</v>
      </c>
      <c r="B362" t="s">
        <v>51</v>
      </c>
      <c r="C362">
        <f t="shared" si="7"/>
        <v>25</v>
      </c>
      <c r="D362" s="40">
        <v>1.1391564378500001E-3</v>
      </c>
      <c r="E362">
        <v>0.01</v>
      </c>
    </row>
    <row r="363" spans="1:5" hidden="1" x14ac:dyDescent="0.2">
      <c r="A363">
        <v>60</v>
      </c>
      <c r="B363" t="s">
        <v>51</v>
      </c>
      <c r="C363">
        <f t="shared" si="7"/>
        <v>26</v>
      </c>
      <c r="D363" s="40">
        <v>1.0882570418099999E-3</v>
      </c>
      <c r="E363">
        <v>5.0000000000000001E-3</v>
      </c>
    </row>
    <row r="364" spans="1:5" hidden="1" x14ac:dyDescent="0.2">
      <c r="A364">
        <v>60</v>
      </c>
      <c r="B364" t="s">
        <v>51</v>
      </c>
      <c r="C364">
        <f t="shared" si="7"/>
        <v>27</v>
      </c>
      <c r="D364" s="40">
        <v>1.04124197048E-3</v>
      </c>
      <c r="E364">
        <v>8.9999999999999993E-3</v>
      </c>
    </row>
    <row r="365" spans="1:5" hidden="1" x14ac:dyDescent="0.2">
      <c r="A365">
        <v>60</v>
      </c>
      <c r="B365" t="s">
        <v>51</v>
      </c>
      <c r="C365">
        <f t="shared" si="7"/>
        <v>28</v>
      </c>
      <c r="D365" s="40">
        <v>9.9769161456600007E-4</v>
      </c>
      <c r="E365">
        <v>4.0000000000000001E-3</v>
      </c>
    </row>
    <row r="366" spans="1:5" hidden="1" x14ac:dyDescent="0.2">
      <c r="A366">
        <v>60</v>
      </c>
      <c r="B366" t="s">
        <v>51</v>
      </c>
      <c r="C366">
        <f t="shared" si="7"/>
        <v>29</v>
      </c>
      <c r="D366" s="40">
        <v>9.5724452306499995E-4</v>
      </c>
      <c r="E366">
        <v>7.0000000000000001E-3</v>
      </c>
    </row>
    <row r="367" spans="1:5" hidden="1" x14ac:dyDescent="0.2">
      <c r="A367">
        <v>60</v>
      </c>
      <c r="B367" t="s">
        <v>51</v>
      </c>
      <c r="C367">
        <f t="shared" si="7"/>
        <v>30</v>
      </c>
      <c r="D367" s="40">
        <v>9.1958765204600001E-4</v>
      </c>
      <c r="E367">
        <v>4.0000000000000001E-3</v>
      </c>
    </row>
    <row r="368" spans="1:5" hidden="1" x14ac:dyDescent="0.2">
      <c r="A368">
        <v>60</v>
      </c>
      <c r="B368" t="s">
        <v>51</v>
      </c>
      <c r="C368">
        <f t="shared" si="7"/>
        <v>31</v>
      </c>
      <c r="D368" s="40">
        <v>8.8444851634700001E-4</v>
      </c>
      <c r="E368">
        <v>0.01</v>
      </c>
    </row>
    <row r="369" spans="1:5" hidden="1" x14ac:dyDescent="0.2">
      <c r="A369">
        <v>60</v>
      </c>
      <c r="B369" t="s">
        <v>51</v>
      </c>
      <c r="C369">
        <f t="shared" si="7"/>
        <v>32</v>
      </c>
      <c r="D369" s="40">
        <v>8.5158882348199995E-4</v>
      </c>
      <c r="E369">
        <v>4.0000000000000001E-3</v>
      </c>
    </row>
    <row r="370" spans="1:5" hidden="1" x14ac:dyDescent="0.2">
      <c r="A370">
        <v>60</v>
      </c>
      <c r="B370" t="s">
        <v>51</v>
      </c>
      <c r="C370">
        <f t="shared" si="7"/>
        <v>33</v>
      </c>
      <c r="D370" s="40">
        <v>8.2079927237800002E-4</v>
      </c>
      <c r="E370">
        <v>8.0000000000000002E-3</v>
      </c>
    </row>
    <row r="371" spans="1:5" hidden="1" x14ac:dyDescent="0.2">
      <c r="A371">
        <v>60</v>
      </c>
      <c r="B371" t="s">
        <v>51</v>
      </c>
      <c r="C371">
        <f t="shared" si="7"/>
        <v>34</v>
      </c>
      <c r="D371" s="40">
        <v>7.9189527511000003E-4</v>
      </c>
      <c r="E371">
        <v>8.9999999999999993E-3</v>
      </c>
    </row>
    <row r="372" spans="1:5" hidden="1" x14ac:dyDescent="0.2">
      <c r="A372">
        <v>60</v>
      </c>
      <c r="B372" t="s">
        <v>51</v>
      </c>
      <c r="C372">
        <f t="shared" si="7"/>
        <v>35</v>
      </c>
      <c r="D372" s="40">
        <v>7.6471341564499995E-4</v>
      </c>
      <c r="E372">
        <v>6.0000000000000001E-3</v>
      </c>
    </row>
    <row r="373" spans="1:5" hidden="1" x14ac:dyDescent="0.2">
      <c r="A373">
        <v>60</v>
      </c>
      <c r="B373" t="s">
        <v>51</v>
      </c>
      <c r="C373">
        <f t="shared" si="7"/>
        <v>36</v>
      </c>
      <c r="D373" s="40">
        <v>7.3910850130800003E-4</v>
      </c>
      <c r="E373">
        <v>6.0000000000000001E-3</v>
      </c>
    </row>
    <row r="374" spans="1:5" hidden="1" x14ac:dyDescent="0.2">
      <c r="A374">
        <v>60</v>
      </c>
      <c r="B374" t="s">
        <v>51</v>
      </c>
      <c r="C374">
        <f t="shared" si="7"/>
        <v>37</v>
      </c>
      <c r="D374" s="40">
        <v>7.1495109418400003E-4</v>
      </c>
      <c r="E374">
        <v>7.0000000000000001E-3</v>
      </c>
    </row>
    <row r="375" spans="1:5" hidden="1" x14ac:dyDescent="0.2">
      <c r="A375">
        <v>60</v>
      </c>
      <c r="B375" t="s">
        <v>51</v>
      </c>
      <c r="C375">
        <f t="shared" si="7"/>
        <v>38</v>
      </c>
      <c r="D375" s="40">
        <v>6.9212543355900004E-4</v>
      </c>
      <c r="E375">
        <v>5.0000000000000001E-3</v>
      </c>
    </row>
    <row r="376" spans="1:5" hidden="1" x14ac:dyDescent="0.2">
      <c r="A376">
        <v>60</v>
      </c>
      <c r="B376" t="s">
        <v>51</v>
      </c>
      <c r="C376">
        <f t="shared" si="7"/>
        <v>39</v>
      </c>
      <c r="D376" s="40">
        <v>6.7052767889799996E-4</v>
      </c>
      <c r="E376">
        <v>4.0000000000000001E-3</v>
      </c>
    </row>
    <row r="377" spans="1:5" hidden="1" x14ac:dyDescent="0.2">
      <c r="A377">
        <v>60</v>
      </c>
      <c r="B377" t="s">
        <v>51</v>
      </c>
      <c r="C377">
        <f t="shared" si="7"/>
        <v>40</v>
      </c>
      <c r="D377" s="40">
        <v>6.5006441701700004E-4</v>
      </c>
      <c r="E377">
        <v>8.9999999999999993E-3</v>
      </c>
    </row>
    <row r="378" spans="1:5" hidden="1" x14ac:dyDescent="0.2">
      <c r="A378">
        <v>60</v>
      </c>
      <c r="B378" t="s">
        <v>51</v>
      </c>
      <c r="C378">
        <f t="shared" si="7"/>
        <v>41</v>
      </c>
      <c r="D378" s="40">
        <v>6.3065138818999998E-4</v>
      </c>
      <c r="E378">
        <v>4.0000000000000001E-3</v>
      </c>
    </row>
    <row r="379" spans="1:5" hidden="1" x14ac:dyDescent="0.2">
      <c r="A379">
        <v>60</v>
      </c>
      <c r="B379" t="s">
        <v>51</v>
      </c>
      <c r="C379">
        <f t="shared" si="7"/>
        <v>42</v>
      </c>
      <c r="D379" s="40">
        <v>6.1221239457699998E-4</v>
      </c>
      <c r="E379">
        <v>8.0000000000000002E-3</v>
      </c>
    </row>
    <row r="380" spans="1:5" hidden="1" x14ac:dyDescent="0.2">
      <c r="A380">
        <v>60</v>
      </c>
      <c r="B380" t="s">
        <v>51</v>
      </c>
      <c r="C380">
        <f t="shared" si="7"/>
        <v>43</v>
      </c>
      <c r="D380" s="40">
        <v>5.9467836121200005E-4</v>
      </c>
      <c r="E380">
        <v>7.0000000000000001E-3</v>
      </c>
    </row>
    <row r="381" spans="1:5" hidden="1" x14ac:dyDescent="0.2">
      <c r="A381">
        <v>60</v>
      </c>
      <c r="B381" t="s">
        <v>51</v>
      </c>
      <c r="C381">
        <f t="shared" si="7"/>
        <v>44</v>
      </c>
      <c r="D381" s="40">
        <v>5.77986525221E-4</v>
      </c>
      <c r="E381">
        <v>5.0000000000000001E-3</v>
      </c>
    </row>
    <row r="382" spans="1:5" hidden="1" x14ac:dyDescent="0.2">
      <c r="A382">
        <v>60</v>
      </c>
      <c r="B382" t="s">
        <v>51</v>
      </c>
      <c r="C382">
        <f t="shared" si="7"/>
        <v>45</v>
      </c>
      <c r="D382" s="40">
        <v>5.6207973327099996E-4</v>
      </c>
      <c r="E382">
        <v>6.0000000000000001E-3</v>
      </c>
    </row>
    <row r="383" spans="1:5" hidden="1" x14ac:dyDescent="0.2">
      <c r="A383">
        <v>60</v>
      </c>
      <c r="B383" t="s">
        <v>51</v>
      </c>
      <c r="C383">
        <f t="shared" si="7"/>
        <v>46</v>
      </c>
      <c r="D383" s="40">
        <v>5.4690583076499996E-4</v>
      </c>
      <c r="E383">
        <v>0.01</v>
      </c>
    </row>
    <row r="384" spans="1:5" hidden="1" x14ac:dyDescent="0.2">
      <c r="A384">
        <v>60</v>
      </c>
      <c r="B384" t="s">
        <v>51</v>
      </c>
      <c r="C384">
        <f t="shared" si="7"/>
        <v>47</v>
      </c>
      <c r="D384" s="40">
        <v>5.3241712908199995E-4</v>
      </c>
      <c r="E384">
        <v>0.01</v>
      </c>
    </row>
    <row r="385" spans="1:5" hidden="1" x14ac:dyDescent="0.2">
      <c r="A385">
        <v>60</v>
      </c>
      <c r="B385" t="s">
        <v>51</v>
      </c>
      <c r="C385">
        <f t="shared" si="7"/>
        <v>48</v>
      </c>
      <c r="D385" s="40">
        <v>5.1856993947899999E-4</v>
      </c>
      <c r="E385">
        <v>5.0000000000000001E-3</v>
      </c>
    </row>
    <row r="386" spans="1:5" hidden="1" x14ac:dyDescent="0.2">
      <c r="A386">
        <v>60</v>
      </c>
      <c r="B386" t="s">
        <v>51</v>
      </c>
      <c r="C386">
        <f t="shared" si="7"/>
        <v>49</v>
      </c>
      <c r="D386" s="40">
        <v>5.0532416410399995E-4</v>
      </c>
      <c r="E386">
        <v>8.9999999999999993E-3</v>
      </c>
    </row>
    <row r="387" spans="1:5" hidden="1" x14ac:dyDescent="0.2">
      <c r="A387">
        <v>60</v>
      </c>
      <c r="B387" t="s">
        <v>51</v>
      </c>
      <c r="C387">
        <f t="shared" si="7"/>
        <v>50</v>
      </c>
      <c r="D387" s="40">
        <v>4.9264293613100003E-4</v>
      </c>
      <c r="E387">
        <v>4.0000000000000001E-3</v>
      </c>
    </row>
    <row r="388" spans="1:5" hidden="1" x14ac:dyDescent="0.2">
      <c r="A388">
        <v>60</v>
      </c>
      <c r="B388" t="s">
        <v>51</v>
      </c>
      <c r="C388">
        <f t="shared" si="7"/>
        <v>51</v>
      </c>
      <c r="D388" s="40">
        <v>4.80492302262E-4</v>
      </c>
      <c r="E388">
        <v>7.0000000000000001E-3</v>
      </c>
    </row>
    <row r="389" spans="1:5" hidden="1" x14ac:dyDescent="0.2">
      <c r="A389">
        <v>60</v>
      </c>
      <c r="B389" t="s">
        <v>51</v>
      </c>
      <c r="C389">
        <f t="shared" si="7"/>
        <v>52</v>
      </c>
      <c r="D389" s="40">
        <v>4.6884094189400001E-4</v>
      </c>
      <c r="E389">
        <v>4.0000000000000001E-3</v>
      </c>
    </row>
    <row r="390" spans="1:5" hidden="1" x14ac:dyDescent="0.2">
      <c r="A390">
        <v>60</v>
      </c>
      <c r="B390" t="s">
        <v>51</v>
      </c>
      <c r="C390">
        <f t="shared" si="7"/>
        <v>53</v>
      </c>
      <c r="D390" s="40">
        <v>4.57659918095E-4</v>
      </c>
      <c r="E390">
        <v>0.01</v>
      </c>
    </row>
    <row r="391" spans="1:5" hidden="1" x14ac:dyDescent="0.2">
      <c r="A391">
        <v>60</v>
      </c>
      <c r="B391" t="s">
        <v>51</v>
      </c>
      <c r="C391">
        <f t="shared" si="7"/>
        <v>54</v>
      </c>
      <c r="D391" s="40">
        <v>4.46922456273E-4</v>
      </c>
      <c r="E391">
        <v>0.01</v>
      </c>
    </row>
    <row r="392" spans="1:5" hidden="1" x14ac:dyDescent="0.2">
      <c r="A392">
        <v>60</v>
      </c>
      <c r="B392" t="s">
        <v>51</v>
      </c>
      <c r="C392">
        <f t="shared" si="7"/>
        <v>55</v>
      </c>
      <c r="D392" s="40">
        <v>4.3660374701800001E-4</v>
      </c>
      <c r="E392">
        <v>5.0000000000000001E-3</v>
      </c>
    </row>
    <row r="393" spans="1:5" hidden="1" x14ac:dyDescent="0.2">
      <c r="A393">
        <v>60</v>
      </c>
      <c r="B393" t="s">
        <v>51</v>
      </c>
      <c r="C393">
        <f t="shared" si="7"/>
        <v>56</v>
      </c>
      <c r="D393" s="40">
        <v>4.2668077006900002E-4</v>
      </c>
      <c r="E393">
        <v>8.9999999999999993E-3</v>
      </c>
    </row>
    <row r="394" spans="1:5" hidden="1" x14ac:dyDescent="0.2">
      <c r="A394">
        <v>60</v>
      </c>
      <c r="B394" t="s">
        <v>51</v>
      </c>
      <c r="C394">
        <f t="shared" si="7"/>
        <v>57</v>
      </c>
      <c r="D394" s="40">
        <v>4.1713213684499998E-4</v>
      </c>
      <c r="E394">
        <v>4.0000000000000001E-3</v>
      </c>
    </row>
    <row r="395" spans="1:5" hidden="1" x14ac:dyDescent="0.2">
      <c r="A395">
        <v>60</v>
      </c>
      <c r="B395" t="s">
        <v>51</v>
      </c>
      <c r="C395">
        <f t="shared" si="7"/>
        <v>58</v>
      </c>
      <c r="D395" s="40">
        <v>4.0793794926899997E-4</v>
      </c>
      <c r="E395">
        <v>7.0000000000000001E-3</v>
      </c>
    </row>
    <row r="396" spans="1:5" hidden="1" x14ac:dyDescent="0.2">
      <c r="A396">
        <v>60</v>
      </c>
      <c r="B396" t="s">
        <v>51</v>
      </c>
      <c r="C396">
        <f t="shared" si="7"/>
        <v>59</v>
      </c>
      <c r="D396" s="40">
        <v>3.9907967297300002E-4</v>
      </c>
      <c r="E396">
        <v>4.0000000000000001E-3</v>
      </c>
    </row>
    <row r="397" spans="1:5" hidden="1" x14ac:dyDescent="0.2">
      <c r="A397">
        <v>60</v>
      </c>
      <c r="B397" t="s">
        <v>51</v>
      </c>
      <c r="C397">
        <f t="shared" si="7"/>
        <v>60</v>
      </c>
      <c r="D397" s="40">
        <v>3.9054002318900002E-4</v>
      </c>
      <c r="E397">
        <v>0.01</v>
      </c>
    </row>
    <row r="398" spans="1:5" hidden="1" x14ac:dyDescent="0.2">
      <c r="A398">
        <v>60</v>
      </c>
      <c r="B398" t="s">
        <v>53</v>
      </c>
      <c r="C398">
        <v>1</v>
      </c>
      <c r="D398" s="40">
        <v>0</v>
      </c>
      <c r="E398">
        <v>8.0000000000000002E-3</v>
      </c>
    </row>
    <row r="399" spans="1:5" hidden="1" x14ac:dyDescent="0.2">
      <c r="A399">
        <v>60</v>
      </c>
      <c r="B399" t="s">
        <v>53</v>
      </c>
      <c r="C399">
        <f>C398+1</f>
        <v>2</v>
      </c>
      <c r="D399" s="40">
        <v>0</v>
      </c>
      <c r="E399">
        <v>0.01</v>
      </c>
    </row>
    <row r="400" spans="1:5" hidden="1" x14ac:dyDescent="0.2">
      <c r="A400">
        <v>60</v>
      </c>
      <c r="B400" t="s">
        <v>53</v>
      </c>
      <c r="C400">
        <f t="shared" ref="C400:C457" si="8">C399+1</f>
        <v>3</v>
      </c>
      <c r="D400" s="40">
        <v>0</v>
      </c>
      <c r="E400">
        <v>8.0000000000000002E-3</v>
      </c>
    </row>
    <row r="401" spans="1:5" hidden="1" x14ac:dyDescent="0.2">
      <c r="A401">
        <v>60</v>
      </c>
      <c r="B401" t="s">
        <v>53</v>
      </c>
      <c r="C401">
        <f t="shared" si="8"/>
        <v>4</v>
      </c>
      <c r="D401" s="40">
        <v>0</v>
      </c>
      <c r="E401">
        <v>8.0000000000000002E-3</v>
      </c>
    </row>
    <row r="402" spans="1:5" hidden="1" x14ac:dyDescent="0.2">
      <c r="A402">
        <v>60</v>
      </c>
      <c r="B402" t="s">
        <v>53</v>
      </c>
      <c r="C402">
        <f t="shared" si="8"/>
        <v>5</v>
      </c>
      <c r="D402" s="40">
        <v>3.3678491323099999E-10</v>
      </c>
      <c r="E402">
        <v>0.01</v>
      </c>
    </row>
    <row r="403" spans="1:5" hidden="1" x14ac:dyDescent="0.2">
      <c r="A403">
        <v>60</v>
      </c>
      <c r="B403" t="s">
        <v>53</v>
      </c>
      <c r="C403">
        <f t="shared" si="8"/>
        <v>6</v>
      </c>
      <c r="D403" s="40">
        <v>1.07642061708E-5</v>
      </c>
      <c r="E403">
        <v>4.0000000000000001E-3</v>
      </c>
    </row>
    <row r="404" spans="1:5" hidden="1" x14ac:dyDescent="0.2">
      <c r="A404">
        <v>60</v>
      </c>
      <c r="B404" t="s">
        <v>53</v>
      </c>
      <c r="C404">
        <f t="shared" si="8"/>
        <v>7</v>
      </c>
      <c r="D404" s="40">
        <v>1.7957699863200001E-4</v>
      </c>
      <c r="E404">
        <v>5.0000000000000001E-3</v>
      </c>
    </row>
    <row r="405" spans="1:5" hidden="1" x14ac:dyDescent="0.2">
      <c r="A405">
        <v>60</v>
      </c>
      <c r="B405" t="s">
        <v>53</v>
      </c>
      <c r="C405">
        <f t="shared" si="8"/>
        <v>8</v>
      </c>
      <c r="D405" s="40">
        <v>7.0827100017900005E-4</v>
      </c>
      <c r="E405">
        <v>7.0000000000000001E-3</v>
      </c>
    </row>
    <row r="406" spans="1:5" hidden="1" x14ac:dyDescent="0.2">
      <c r="A406">
        <v>60</v>
      </c>
      <c r="B406" t="s">
        <v>53</v>
      </c>
      <c r="C406">
        <f t="shared" si="8"/>
        <v>9</v>
      </c>
      <c r="D406" s="40">
        <v>1.5744753603900001E-3</v>
      </c>
      <c r="E406">
        <v>5.0000000000000001E-3</v>
      </c>
    </row>
    <row r="407" spans="1:5" hidden="1" x14ac:dyDescent="0.2">
      <c r="A407">
        <v>60</v>
      </c>
      <c r="B407" t="s">
        <v>53</v>
      </c>
      <c r="C407">
        <f t="shared" si="8"/>
        <v>10</v>
      </c>
      <c r="D407" s="40">
        <v>2.6100111629000001E-3</v>
      </c>
      <c r="E407">
        <v>8.0000000000000002E-3</v>
      </c>
    </row>
    <row r="408" spans="1:5" hidden="1" x14ac:dyDescent="0.2">
      <c r="A408">
        <v>60</v>
      </c>
      <c r="B408" t="s">
        <v>53</v>
      </c>
      <c r="C408">
        <f t="shared" si="8"/>
        <v>11</v>
      </c>
      <c r="D408" s="40">
        <v>3.6430943579400001E-3</v>
      </c>
      <c r="E408">
        <v>6.0000000000000001E-3</v>
      </c>
    </row>
    <row r="409" spans="1:5" hidden="1" x14ac:dyDescent="0.2">
      <c r="A409">
        <v>60</v>
      </c>
      <c r="B409" t="s">
        <v>53</v>
      </c>
      <c r="C409">
        <f t="shared" si="8"/>
        <v>12</v>
      </c>
      <c r="D409" s="40">
        <v>4.5564257478300004E-3</v>
      </c>
      <c r="E409">
        <v>5.0000000000000001E-3</v>
      </c>
    </row>
    <row r="410" spans="1:5" hidden="1" x14ac:dyDescent="0.2">
      <c r="A410">
        <v>60</v>
      </c>
      <c r="B410" t="s">
        <v>53</v>
      </c>
      <c r="C410">
        <f t="shared" si="8"/>
        <v>13</v>
      </c>
      <c r="D410" s="40">
        <v>5.2904440171699998E-3</v>
      </c>
      <c r="E410">
        <v>8.0000000000000002E-3</v>
      </c>
    </row>
    <row r="411" spans="1:5" hidden="1" x14ac:dyDescent="0.2">
      <c r="A411">
        <v>60</v>
      </c>
      <c r="B411" t="s">
        <v>53</v>
      </c>
      <c r="C411">
        <f t="shared" si="8"/>
        <v>14</v>
      </c>
      <c r="D411" s="40">
        <v>5.8281619865300002E-3</v>
      </c>
      <c r="E411">
        <v>5.0000000000000001E-3</v>
      </c>
    </row>
    <row r="412" spans="1:5" hidden="1" x14ac:dyDescent="0.2">
      <c r="A412">
        <v>60</v>
      </c>
      <c r="B412" t="s">
        <v>53</v>
      </c>
      <c r="C412">
        <f t="shared" si="8"/>
        <v>15</v>
      </c>
      <c r="D412" s="40">
        <v>6.1786384811100001E-3</v>
      </c>
      <c r="E412">
        <v>7.0000000000000001E-3</v>
      </c>
    </row>
    <row r="413" spans="1:5" hidden="1" x14ac:dyDescent="0.2">
      <c r="A413">
        <v>60</v>
      </c>
      <c r="B413" t="s">
        <v>53</v>
      </c>
      <c r="C413">
        <f t="shared" si="8"/>
        <v>16</v>
      </c>
      <c r="D413" s="40">
        <v>6.36434138382E-3</v>
      </c>
      <c r="E413">
        <v>5.0000000000000001E-3</v>
      </c>
    </row>
    <row r="414" spans="1:5" hidden="1" x14ac:dyDescent="0.2">
      <c r="A414">
        <v>60</v>
      </c>
      <c r="B414" t="s">
        <v>53</v>
      </c>
      <c r="C414">
        <f t="shared" si="8"/>
        <v>17</v>
      </c>
      <c r="D414" s="40">
        <v>6.4128712540500003E-3</v>
      </c>
      <c r="E414">
        <v>4.0000000000000001E-3</v>
      </c>
    </row>
    <row r="415" spans="1:5" hidden="1" x14ac:dyDescent="0.2">
      <c r="A415">
        <v>60</v>
      </c>
      <c r="B415" t="s">
        <v>53</v>
      </c>
      <c r="C415">
        <f t="shared" si="8"/>
        <v>18</v>
      </c>
      <c r="D415" s="40">
        <v>6.35209526261E-3</v>
      </c>
      <c r="E415">
        <v>8.9999999999999993E-3</v>
      </c>
    </row>
    <row r="416" spans="1:5" hidden="1" x14ac:dyDescent="0.2">
      <c r="A416">
        <v>60</v>
      </c>
      <c r="B416" t="s">
        <v>53</v>
      </c>
      <c r="C416">
        <f t="shared" si="8"/>
        <v>19</v>
      </c>
      <c r="D416" s="40">
        <v>6.20759397137E-3</v>
      </c>
      <c r="E416">
        <v>4.0000000000000001E-3</v>
      </c>
    </row>
    <row r="417" spans="1:5" hidden="1" x14ac:dyDescent="0.2">
      <c r="A417">
        <v>60</v>
      </c>
      <c r="B417" t="s">
        <v>53</v>
      </c>
      <c r="C417">
        <f t="shared" si="8"/>
        <v>20</v>
      </c>
      <c r="D417" s="40">
        <v>6.0015479479199997E-3</v>
      </c>
      <c r="E417">
        <v>8.0000000000000002E-3</v>
      </c>
    </row>
    <row r="418" spans="1:5" hidden="1" x14ac:dyDescent="0.2">
      <c r="A418">
        <v>60</v>
      </c>
      <c r="B418" t="s">
        <v>53</v>
      </c>
      <c r="C418">
        <f t="shared" si="8"/>
        <v>21</v>
      </c>
      <c r="D418" s="40">
        <v>5.75245941529E-3</v>
      </c>
      <c r="E418">
        <v>7.0000000000000001E-3</v>
      </c>
    </row>
    <row r="419" spans="1:5" hidden="1" x14ac:dyDescent="0.2">
      <c r="A419">
        <v>60</v>
      </c>
      <c r="B419" t="s">
        <v>53</v>
      </c>
      <c r="C419">
        <f t="shared" si="8"/>
        <v>22</v>
      </c>
      <c r="D419" s="40">
        <v>5.4753205987200003E-3</v>
      </c>
      <c r="E419">
        <v>5.0000000000000001E-3</v>
      </c>
    </row>
    <row r="420" spans="1:5" hidden="1" x14ac:dyDescent="0.2">
      <c r="A420">
        <v>60</v>
      </c>
      <c r="B420" t="s">
        <v>53</v>
      </c>
      <c r="C420">
        <f t="shared" si="8"/>
        <v>23</v>
      </c>
      <c r="D420" s="40">
        <v>5.1819926026599999E-3</v>
      </c>
      <c r="E420">
        <v>6.0000000000000001E-3</v>
      </c>
    </row>
    <row r="421" spans="1:5" hidden="1" x14ac:dyDescent="0.2">
      <c r="A421">
        <v>60</v>
      </c>
      <c r="B421" t="s">
        <v>53</v>
      </c>
      <c r="C421">
        <f t="shared" si="8"/>
        <v>24</v>
      </c>
      <c r="D421" s="40">
        <v>4.8816582346499996E-3</v>
      </c>
      <c r="E421">
        <v>0.01</v>
      </c>
    </row>
    <row r="422" spans="1:5" hidden="1" x14ac:dyDescent="0.2">
      <c r="A422">
        <v>60</v>
      </c>
      <c r="B422" t="s">
        <v>53</v>
      </c>
      <c r="C422">
        <f t="shared" si="8"/>
        <v>25</v>
      </c>
      <c r="D422" s="40">
        <v>4.5812743928200002E-3</v>
      </c>
      <c r="E422">
        <v>0.01</v>
      </c>
    </row>
    <row r="423" spans="1:5" hidden="1" x14ac:dyDescent="0.2">
      <c r="A423">
        <v>60</v>
      </c>
      <c r="B423" t="s">
        <v>53</v>
      </c>
      <c r="C423">
        <f t="shared" si="8"/>
        <v>26</v>
      </c>
      <c r="D423" s="40">
        <v>4.2859870581699998E-3</v>
      </c>
      <c r="E423">
        <v>5.0000000000000001E-3</v>
      </c>
    </row>
    <row r="424" spans="1:5" hidden="1" x14ac:dyDescent="0.2">
      <c r="A424">
        <v>60</v>
      </c>
      <c r="B424" t="s">
        <v>53</v>
      </c>
      <c r="C424">
        <f t="shared" si="8"/>
        <v>27</v>
      </c>
      <c r="D424" s="40">
        <v>3.9994936207499998E-3</v>
      </c>
      <c r="E424">
        <v>8.9999999999999993E-3</v>
      </c>
    </row>
    <row r="425" spans="1:5" hidden="1" x14ac:dyDescent="0.2">
      <c r="A425">
        <v>60</v>
      </c>
      <c r="B425" t="s">
        <v>53</v>
      </c>
      <c r="C425">
        <f t="shared" si="8"/>
        <v>28</v>
      </c>
      <c r="D425" s="40">
        <v>3.72434927083E-3</v>
      </c>
      <c r="E425">
        <v>4.0000000000000001E-3</v>
      </c>
    </row>
    <row r="426" spans="1:5" hidden="1" x14ac:dyDescent="0.2">
      <c r="A426">
        <v>60</v>
      </c>
      <c r="B426" t="s">
        <v>53</v>
      </c>
      <c r="C426">
        <f t="shared" si="8"/>
        <v>29</v>
      </c>
      <c r="D426" s="40">
        <v>3.4622203842399999E-3</v>
      </c>
      <c r="E426">
        <v>7.0000000000000001E-3</v>
      </c>
    </row>
    <row r="427" spans="1:5" hidden="1" x14ac:dyDescent="0.2">
      <c r="A427">
        <v>60</v>
      </c>
      <c r="B427" t="s">
        <v>53</v>
      </c>
      <c r="C427">
        <f t="shared" si="8"/>
        <v>30</v>
      </c>
      <c r="D427" s="40">
        <v>3.2140906525400001E-3</v>
      </c>
      <c r="E427">
        <v>4.0000000000000001E-3</v>
      </c>
    </row>
    <row r="428" spans="1:5" hidden="1" x14ac:dyDescent="0.2">
      <c r="A428">
        <v>60</v>
      </c>
      <c r="B428" t="s">
        <v>53</v>
      </c>
      <c r="C428">
        <f t="shared" si="8"/>
        <v>31</v>
      </c>
      <c r="D428" s="40">
        <v>2.9804266339199998E-3</v>
      </c>
      <c r="E428">
        <v>0.01</v>
      </c>
    </row>
    <row r="429" spans="1:5" hidden="1" x14ac:dyDescent="0.2">
      <c r="A429">
        <v>60</v>
      </c>
      <c r="B429" t="s">
        <v>53</v>
      </c>
      <c r="C429">
        <f t="shared" si="8"/>
        <v>32</v>
      </c>
      <c r="D429" s="40">
        <v>2.76130931779E-3</v>
      </c>
      <c r="E429">
        <v>4.0000000000000001E-3</v>
      </c>
    </row>
    <row r="430" spans="1:5" hidden="1" x14ac:dyDescent="0.2">
      <c r="A430">
        <v>60</v>
      </c>
      <c r="B430" t="s">
        <v>53</v>
      </c>
      <c r="C430">
        <f t="shared" si="8"/>
        <v>33</v>
      </c>
      <c r="D430" s="40">
        <v>2.55653772374E-3</v>
      </c>
      <c r="E430">
        <v>8.0000000000000002E-3</v>
      </c>
    </row>
    <row r="431" spans="1:5" hidden="1" x14ac:dyDescent="0.2">
      <c r="A431">
        <v>60</v>
      </c>
      <c r="B431" t="s">
        <v>53</v>
      </c>
      <c r="C431">
        <f t="shared" si="8"/>
        <v>34</v>
      </c>
      <c r="D431" s="40">
        <v>2.3657097881899999E-3</v>
      </c>
      <c r="E431">
        <v>8.9999999999999993E-3</v>
      </c>
    </row>
    <row r="432" spans="1:5" hidden="1" x14ac:dyDescent="0.2">
      <c r="A432">
        <v>60</v>
      </c>
      <c r="B432" t="s">
        <v>53</v>
      </c>
      <c r="C432">
        <f t="shared" si="8"/>
        <v>35</v>
      </c>
      <c r="D432" s="40">
        <v>2.1882849910699999E-3</v>
      </c>
      <c r="E432">
        <v>6.0000000000000001E-3</v>
      </c>
    </row>
    <row r="433" spans="1:5" hidden="1" x14ac:dyDescent="0.2">
      <c r="A433">
        <v>60</v>
      </c>
      <c r="B433" t="s">
        <v>53</v>
      </c>
      <c r="C433">
        <f t="shared" si="8"/>
        <v>36</v>
      </c>
      <c r="D433" s="40">
        <v>2.02363242091E-3</v>
      </c>
      <c r="E433">
        <v>6.0000000000000001E-3</v>
      </c>
    </row>
    <row r="434" spans="1:5" hidden="1" x14ac:dyDescent="0.2">
      <c r="A434">
        <v>60</v>
      </c>
      <c r="B434" t="s">
        <v>53</v>
      </c>
      <c r="C434">
        <f t="shared" si="8"/>
        <v>37</v>
      </c>
      <c r="D434" s="40">
        <v>1.8710673076800001E-3</v>
      </c>
      <c r="E434">
        <v>7.0000000000000001E-3</v>
      </c>
    </row>
    <row r="435" spans="1:5" hidden="1" x14ac:dyDescent="0.2">
      <c r="A435">
        <v>60</v>
      </c>
      <c r="B435" t="s">
        <v>53</v>
      </c>
      <c r="C435">
        <f t="shared" si="8"/>
        <v>38</v>
      </c>
      <c r="D435" s="40">
        <v>1.7298784772E-3</v>
      </c>
      <c r="E435">
        <v>5.0000000000000001E-3</v>
      </c>
    </row>
    <row r="436" spans="1:5" hidden="1" x14ac:dyDescent="0.2">
      <c r="A436">
        <v>60</v>
      </c>
      <c r="B436" t="s">
        <v>53</v>
      </c>
      <c r="C436">
        <f t="shared" si="8"/>
        <v>39</v>
      </c>
      <c r="D436" s="40">
        <v>1.5993486998199999E-3</v>
      </c>
      <c r="E436">
        <v>4.0000000000000001E-3</v>
      </c>
    </row>
    <row r="437" spans="1:5" hidden="1" x14ac:dyDescent="0.2">
      <c r="A437">
        <v>60</v>
      </c>
      <c r="B437" t="s">
        <v>53</v>
      </c>
      <c r="C437">
        <f t="shared" si="8"/>
        <v>40</v>
      </c>
      <c r="D437" s="40">
        <v>1.47876950808E-3</v>
      </c>
      <c r="E437">
        <v>8.9999999999999993E-3</v>
      </c>
    </row>
    <row r="438" spans="1:5" hidden="1" x14ac:dyDescent="0.2">
      <c r="A438">
        <v>60</v>
      </c>
      <c r="B438" t="s">
        <v>53</v>
      </c>
      <c r="C438">
        <f t="shared" si="8"/>
        <v>41</v>
      </c>
      <c r="D438" s="40">
        <v>1.3674517341300001E-3</v>
      </c>
      <c r="E438">
        <v>4.0000000000000001E-3</v>
      </c>
    </row>
    <row r="439" spans="1:5" hidden="1" x14ac:dyDescent="0.2">
      <c r="A439">
        <v>60</v>
      </c>
      <c r="B439" t="s">
        <v>53</v>
      </c>
      <c r="C439">
        <f t="shared" si="8"/>
        <v>42</v>
      </c>
      <c r="D439" s="40">
        <v>1.26473275571E-3</v>
      </c>
      <c r="E439">
        <v>8.0000000000000002E-3</v>
      </c>
    </row>
    <row r="440" spans="1:5" hidden="1" x14ac:dyDescent="0.2">
      <c r="A440">
        <v>60</v>
      </c>
      <c r="B440" t="s">
        <v>53</v>
      </c>
      <c r="C440">
        <f t="shared" si="8"/>
        <v>43</v>
      </c>
      <c r="D440" s="40">
        <v>1.1699812292E-3</v>
      </c>
      <c r="E440">
        <v>7.0000000000000001E-3</v>
      </c>
    </row>
    <row r="441" spans="1:5" hidden="1" x14ac:dyDescent="0.2">
      <c r="A441">
        <v>60</v>
      </c>
      <c r="B441" t="s">
        <v>53</v>
      </c>
      <c r="C441">
        <f t="shared" si="8"/>
        <v>44</v>
      </c>
      <c r="D441" s="40">
        <v>1.08259992041E-3</v>
      </c>
      <c r="E441">
        <v>5.0000000000000001E-3</v>
      </c>
    </row>
    <row r="442" spans="1:5" hidden="1" x14ac:dyDescent="0.2">
      <c r="A442">
        <v>60</v>
      </c>
      <c r="B442" t="s">
        <v>53</v>
      </c>
      <c r="C442">
        <f t="shared" si="8"/>
        <v>45</v>
      </c>
      <c r="D442" s="40">
        <v>1.0020271101200001E-3</v>
      </c>
      <c r="E442">
        <v>6.0000000000000001E-3</v>
      </c>
    </row>
    <row r="443" spans="1:5" hidden="1" x14ac:dyDescent="0.2">
      <c r="A443">
        <v>60</v>
      </c>
      <c r="B443" t="s">
        <v>53</v>
      </c>
      <c r="C443">
        <f t="shared" si="8"/>
        <v>46</v>
      </c>
      <c r="D443" s="40">
        <v>9.2773694574100002E-4</v>
      </c>
      <c r="E443">
        <v>0.01</v>
      </c>
    </row>
    <row r="444" spans="1:5" hidden="1" x14ac:dyDescent="0.2">
      <c r="A444">
        <v>60</v>
      </c>
      <c r="B444" t="s">
        <v>53</v>
      </c>
      <c r="C444">
        <f t="shared" si="8"/>
        <v>47</v>
      </c>
      <c r="D444" s="40">
        <v>8.5923902687700001E-4</v>
      </c>
      <c r="E444">
        <v>0.01</v>
      </c>
    </row>
    <row r="445" spans="1:5" hidden="1" x14ac:dyDescent="0.2">
      <c r="A445">
        <v>60</v>
      </c>
      <c r="B445" t="s">
        <v>53</v>
      </c>
      <c r="C445">
        <f t="shared" si="8"/>
        <v>48</v>
      </c>
      <c r="D445" s="40">
        <v>7.9607744666499998E-4</v>
      </c>
      <c r="E445">
        <v>5.0000000000000001E-3</v>
      </c>
    </row>
    <row r="446" spans="1:5" hidden="1" x14ac:dyDescent="0.2">
      <c r="A446">
        <v>60</v>
      </c>
      <c r="B446" t="s">
        <v>53</v>
      </c>
      <c r="C446">
        <f t="shared" si="8"/>
        <v>49</v>
      </c>
      <c r="D446" s="40">
        <v>7.37829459198E-4</v>
      </c>
      <c r="E446">
        <v>8.9999999999999993E-3</v>
      </c>
    </row>
    <row r="447" spans="1:5" hidden="1" x14ac:dyDescent="0.2">
      <c r="A447">
        <v>60</v>
      </c>
      <c r="B447" t="s">
        <v>53</v>
      </c>
      <c r="C447">
        <f t="shared" si="8"/>
        <v>50</v>
      </c>
      <c r="D447" s="40">
        <v>6.8410390272300001E-4</v>
      </c>
      <c r="E447">
        <v>4.0000000000000001E-3</v>
      </c>
    </row>
    <row r="448" spans="1:5" hidden="1" x14ac:dyDescent="0.2">
      <c r="A448">
        <v>60</v>
      </c>
      <c r="B448" t="s">
        <v>53</v>
      </c>
      <c r="C448">
        <f t="shared" si="8"/>
        <v>51</v>
      </c>
      <c r="D448" s="40">
        <v>6.3453947668400004E-4</v>
      </c>
      <c r="E448">
        <v>7.0000000000000001E-3</v>
      </c>
    </row>
    <row r="449" spans="1:5" hidden="1" x14ac:dyDescent="0.2">
      <c r="A449">
        <v>60</v>
      </c>
      <c r="B449" t="s">
        <v>53</v>
      </c>
      <c r="C449">
        <f t="shared" si="8"/>
        <v>52</v>
      </c>
      <c r="D449" s="40">
        <v>5.8880294599000002E-4</v>
      </c>
      <c r="E449">
        <v>4.0000000000000001E-3</v>
      </c>
    </row>
    <row r="450" spans="1:5" hidden="1" x14ac:dyDescent="0.2">
      <c r="A450">
        <v>60</v>
      </c>
      <c r="B450" t="s">
        <v>53</v>
      </c>
      <c r="C450">
        <f t="shared" si="8"/>
        <v>53</v>
      </c>
      <c r="D450" s="40">
        <v>5.4658732672799998E-4</v>
      </c>
      <c r="E450">
        <v>0.01</v>
      </c>
    </row>
    <row r="451" spans="1:5" hidden="1" x14ac:dyDescent="0.2">
      <c r="A451">
        <v>60</v>
      </c>
      <c r="B451" t="s">
        <v>53</v>
      </c>
      <c r="C451">
        <f t="shared" si="8"/>
        <v>54</v>
      </c>
      <c r="D451" s="40">
        <v>5.0761009270300003E-4</v>
      </c>
      <c r="E451">
        <v>0.01</v>
      </c>
    </row>
    <row r="452" spans="1:5" hidden="1" x14ac:dyDescent="0.2">
      <c r="A452">
        <v>60</v>
      </c>
      <c r="B452" t="s">
        <v>53</v>
      </c>
      <c r="C452">
        <f t="shared" si="8"/>
        <v>55</v>
      </c>
      <c r="D452" s="40">
        <v>4.7161143077100002E-4</v>
      </c>
      <c r="E452">
        <v>5.0000000000000001E-3</v>
      </c>
    </row>
    <row r="453" spans="1:5" hidden="1" x14ac:dyDescent="0.2">
      <c r="A453">
        <v>60</v>
      </c>
      <c r="B453" t="s">
        <v>53</v>
      </c>
      <c r="C453">
        <f t="shared" si="8"/>
        <v>56</v>
      </c>
      <c r="D453" s="40">
        <v>4.3835256416199997E-4</v>
      </c>
      <c r="E453">
        <v>8.9999999999999993E-3</v>
      </c>
    </row>
    <row r="454" spans="1:5" hidden="1" x14ac:dyDescent="0.2">
      <c r="A454">
        <v>60</v>
      </c>
      <c r="B454" t="s">
        <v>53</v>
      </c>
      <c r="C454">
        <f t="shared" si="8"/>
        <v>57</v>
      </c>
      <c r="D454" s="40">
        <v>4.0761415632100003E-4</v>
      </c>
      <c r="E454">
        <v>4.0000000000000001E-3</v>
      </c>
    </row>
    <row r="455" spans="1:5" hidden="1" x14ac:dyDescent="0.2">
      <c r="A455">
        <v>60</v>
      </c>
      <c r="B455" t="s">
        <v>53</v>
      </c>
      <c r="C455">
        <f t="shared" si="8"/>
        <v>58</v>
      </c>
      <c r="D455" s="40">
        <v>3.7919480275299999E-4</v>
      </c>
      <c r="E455">
        <v>7.0000000000000001E-3</v>
      </c>
    </row>
    <row r="456" spans="1:5" hidden="1" x14ac:dyDescent="0.2">
      <c r="A456">
        <v>60</v>
      </c>
      <c r="B456" t="s">
        <v>53</v>
      </c>
      <c r="C456">
        <f t="shared" si="8"/>
        <v>59</v>
      </c>
      <c r="D456" s="40">
        <v>3.5290961459700002E-4</v>
      </c>
      <c r="E456">
        <v>4.0000000000000001E-3</v>
      </c>
    </row>
    <row r="457" spans="1:5" hidden="1" x14ac:dyDescent="0.2">
      <c r="A457">
        <v>60</v>
      </c>
      <c r="B457" t="s">
        <v>53</v>
      </c>
      <c r="C457">
        <f t="shared" si="8"/>
        <v>60</v>
      </c>
      <c r="D457" s="40">
        <v>3.2858889484500001E-4</v>
      </c>
      <c r="E457">
        <v>0.01</v>
      </c>
    </row>
    <row r="458" spans="1:5" hidden="1" x14ac:dyDescent="0.2">
      <c r="A458">
        <v>60</v>
      </c>
      <c r="B458" t="s">
        <v>103</v>
      </c>
      <c r="C458">
        <v>1</v>
      </c>
      <c r="D458" s="40">
        <v>1.9879692874670001E-6</v>
      </c>
      <c r="E458">
        <v>8.0000000000000002E-3</v>
      </c>
    </row>
    <row r="459" spans="1:5" hidden="1" x14ac:dyDescent="0.2">
      <c r="A459">
        <v>60</v>
      </c>
      <c r="B459" t="s">
        <v>103</v>
      </c>
      <c r="C459">
        <f>C458+1</f>
        <v>2</v>
      </c>
      <c r="D459" s="40">
        <v>9.3814549514539991E-6</v>
      </c>
      <c r="E459">
        <v>0.01</v>
      </c>
    </row>
    <row r="460" spans="1:5" hidden="1" x14ac:dyDescent="0.2">
      <c r="A460">
        <v>60</v>
      </c>
      <c r="B460" t="s">
        <v>103</v>
      </c>
      <c r="C460">
        <f t="shared" ref="C460:C517" si="9">C459+1</f>
        <v>3</v>
      </c>
      <c r="D460" s="40">
        <v>3.2126855090440001E-5</v>
      </c>
      <c r="E460">
        <v>8.0000000000000002E-3</v>
      </c>
    </row>
    <row r="461" spans="1:5" hidden="1" x14ac:dyDescent="0.2">
      <c r="A461">
        <v>60</v>
      </c>
      <c r="B461" t="s">
        <v>103</v>
      </c>
      <c r="C461">
        <f t="shared" si="9"/>
        <v>4</v>
      </c>
      <c r="D461" s="40">
        <v>8.6824831077520002E-5</v>
      </c>
      <c r="E461">
        <v>8.0000000000000002E-3</v>
      </c>
    </row>
    <row r="462" spans="1:5" hidden="1" x14ac:dyDescent="0.2">
      <c r="A462">
        <v>60</v>
      </c>
      <c r="B462" t="s">
        <v>103</v>
      </c>
      <c r="C462">
        <f t="shared" si="9"/>
        <v>5</v>
      </c>
      <c r="D462" s="40">
        <v>1.9593185782039999E-4</v>
      </c>
      <c r="E462">
        <v>0.01</v>
      </c>
    </row>
    <row r="463" spans="1:5" hidden="1" x14ac:dyDescent="0.2">
      <c r="A463">
        <v>60</v>
      </c>
      <c r="B463" t="s">
        <v>103</v>
      </c>
      <c r="C463">
        <f t="shared" si="9"/>
        <v>6</v>
      </c>
      <c r="D463" s="40">
        <v>3.8407631111779994E-4</v>
      </c>
      <c r="E463">
        <v>4.0000000000000001E-3</v>
      </c>
    </row>
    <row r="464" spans="1:5" hidden="1" x14ac:dyDescent="0.2">
      <c r="A464">
        <v>60</v>
      </c>
      <c r="B464" t="s">
        <v>103</v>
      </c>
      <c r="C464">
        <f t="shared" si="9"/>
        <v>7</v>
      </c>
      <c r="D464" s="40">
        <v>6.7298488488829996E-4</v>
      </c>
      <c r="E464">
        <v>5.0000000000000001E-3</v>
      </c>
    </row>
    <row r="465" spans="1:5" hidden="1" x14ac:dyDescent="0.2">
      <c r="A465">
        <v>60</v>
      </c>
      <c r="B465" t="s">
        <v>103</v>
      </c>
      <c r="C465">
        <f t="shared" si="9"/>
        <v>8</v>
      </c>
      <c r="D465" s="40">
        <v>1.0767286630277001E-3</v>
      </c>
      <c r="E465">
        <v>7.0000000000000001E-3</v>
      </c>
    </row>
    <row r="466" spans="1:5" hidden="1" x14ac:dyDescent="0.2">
      <c r="A466">
        <v>60</v>
      </c>
      <c r="B466" t="s">
        <v>103</v>
      </c>
      <c r="C466">
        <f t="shared" si="9"/>
        <v>9</v>
      </c>
      <c r="D466" s="40">
        <v>1.5986242925725E-3</v>
      </c>
      <c r="E466">
        <v>5.0000000000000001E-3</v>
      </c>
    </row>
    <row r="467" spans="1:5" hidden="1" x14ac:dyDescent="0.2">
      <c r="A467">
        <v>60</v>
      </c>
      <c r="B467" t="s">
        <v>103</v>
      </c>
      <c r="C467">
        <f t="shared" si="9"/>
        <v>10</v>
      </c>
      <c r="D467" s="40">
        <v>2.2303514351140002E-3</v>
      </c>
      <c r="E467">
        <v>8.0000000000000002E-3</v>
      </c>
    </row>
    <row r="468" spans="1:5" hidden="1" x14ac:dyDescent="0.2">
      <c r="A468">
        <v>60</v>
      </c>
      <c r="B468" t="s">
        <v>103</v>
      </c>
      <c r="C468">
        <f t="shared" si="9"/>
        <v>11</v>
      </c>
      <c r="D468" s="40">
        <v>2.9531216304449995E-3</v>
      </c>
      <c r="E468">
        <v>6.0000000000000001E-3</v>
      </c>
    </row>
    <row r="469" spans="1:5" hidden="1" x14ac:dyDescent="0.2">
      <c r="A469">
        <v>60</v>
      </c>
      <c r="B469" t="s">
        <v>103</v>
      </c>
      <c r="C469">
        <f t="shared" si="9"/>
        <v>12</v>
      </c>
      <c r="D469" s="40">
        <v>3.7402877982529994E-3</v>
      </c>
      <c r="E469">
        <v>5.0000000000000001E-3</v>
      </c>
    </row>
    <row r="470" spans="1:5" hidden="1" x14ac:dyDescent="0.2">
      <c r="A470">
        <v>60</v>
      </c>
      <c r="B470" t="s">
        <v>103</v>
      </c>
      <c r="C470">
        <f t="shared" si="9"/>
        <v>13</v>
      </c>
      <c r="D470" s="40">
        <v>4.5606442692869998E-3</v>
      </c>
      <c r="E470">
        <v>8.0000000000000002E-3</v>
      </c>
    </row>
    <row r="471" spans="1:5" hidden="1" x14ac:dyDescent="0.2">
      <c r="A471">
        <v>60</v>
      </c>
      <c r="B471" t="s">
        <v>103</v>
      </c>
      <c r="C471">
        <f t="shared" si="9"/>
        <v>14</v>
      </c>
      <c r="D471" s="40">
        <v>5.3817496779729997E-3</v>
      </c>
      <c r="E471">
        <v>5.0000000000000001E-3</v>
      </c>
    </row>
    <row r="472" spans="1:5" hidden="1" x14ac:dyDescent="0.2">
      <c r="A472">
        <v>60</v>
      </c>
      <c r="B472" t="s">
        <v>103</v>
      </c>
      <c r="C472">
        <f t="shared" si="9"/>
        <v>15</v>
      </c>
      <c r="D472" s="40">
        <v>6.1727985491530002E-3</v>
      </c>
      <c r="E472">
        <v>7.0000000000000001E-3</v>
      </c>
    </row>
    <row r="473" spans="1:5" hidden="1" x14ac:dyDescent="0.2">
      <c r="A473">
        <v>60</v>
      </c>
      <c r="B473" t="s">
        <v>103</v>
      </c>
      <c r="C473">
        <f t="shared" si="9"/>
        <v>16</v>
      </c>
      <c r="D473" s="40">
        <v>6.9067826111390007E-3</v>
      </c>
      <c r="E473">
        <v>5.0000000000000001E-3</v>
      </c>
    </row>
    <row r="474" spans="1:5" hidden="1" x14ac:dyDescent="0.2">
      <c r="A474">
        <v>60</v>
      </c>
      <c r="B474" t="s">
        <v>103</v>
      </c>
      <c r="C474">
        <f t="shared" si="9"/>
        <v>17</v>
      </c>
      <c r="D474" s="40">
        <v>7.5618661141410009E-3</v>
      </c>
      <c r="E474">
        <v>4.0000000000000001E-3</v>
      </c>
    </row>
    <row r="475" spans="1:5" hidden="1" x14ac:dyDescent="0.2">
      <c r="A475">
        <v>60</v>
      </c>
      <c r="B475" t="s">
        <v>103</v>
      </c>
      <c r="C475">
        <f t="shared" si="9"/>
        <v>18</v>
      </c>
      <c r="D475" s="40">
        <v>8.1220287322890002E-3</v>
      </c>
      <c r="E475">
        <v>8.9999999999999993E-3</v>
      </c>
    </row>
    <row r="476" spans="1:5" hidden="1" x14ac:dyDescent="0.2">
      <c r="A476">
        <v>60</v>
      </c>
      <c r="B476" t="s">
        <v>103</v>
      </c>
      <c r="C476">
        <f t="shared" si="9"/>
        <v>19</v>
      </c>
      <c r="D476" s="40">
        <v>8.5771041250390003E-3</v>
      </c>
      <c r="E476">
        <v>4.0000000000000001E-3</v>
      </c>
    </row>
    <row r="477" spans="1:5" hidden="1" x14ac:dyDescent="0.2">
      <c r="A477">
        <v>60</v>
      </c>
      <c r="B477" t="s">
        <v>103</v>
      </c>
      <c r="C477">
        <f t="shared" si="9"/>
        <v>20</v>
      </c>
      <c r="D477" s="40">
        <v>8.9223719685039993E-3</v>
      </c>
      <c r="E477">
        <v>8.0000000000000002E-3</v>
      </c>
    </row>
    <row r="478" spans="1:5" hidden="1" x14ac:dyDescent="0.2">
      <c r="A478">
        <v>60</v>
      </c>
      <c r="B478" t="s">
        <v>103</v>
      </c>
      <c r="C478">
        <f t="shared" si="9"/>
        <v>21</v>
      </c>
      <c r="D478" s="40">
        <v>9.1578597883359997E-3</v>
      </c>
      <c r="E478">
        <v>7.0000000000000001E-3</v>
      </c>
    </row>
    <row r="479" spans="1:5" hidden="1" x14ac:dyDescent="0.2">
      <c r="A479">
        <v>60</v>
      </c>
      <c r="B479" t="s">
        <v>103</v>
      </c>
      <c r="C479">
        <f t="shared" si="9"/>
        <v>22</v>
      </c>
      <c r="D479" s="40">
        <v>9.2874909831359986E-3</v>
      </c>
      <c r="E479">
        <v>5.0000000000000001E-3</v>
      </c>
    </row>
    <row r="480" spans="1:5" hidden="1" x14ac:dyDescent="0.2">
      <c r="A480">
        <v>60</v>
      </c>
      <c r="B480" t="s">
        <v>103</v>
      </c>
      <c r="C480">
        <f t="shared" si="9"/>
        <v>23</v>
      </c>
      <c r="D480" s="40">
        <v>9.3181870642629998E-3</v>
      </c>
      <c r="E480">
        <v>6.0000000000000001E-3</v>
      </c>
    </row>
    <row r="481" spans="1:5" hidden="1" x14ac:dyDescent="0.2">
      <c r="A481">
        <v>60</v>
      </c>
      <c r="B481" t="s">
        <v>103</v>
      </c>
      <c r="C481">
        <f t="shared" si="9"/>
        <v>24</v>
      </c>
      <c r="D481" s="40">
        <v>9.259002270086001E-3</v>
      </c>
      <c r="E481">
        <v>0.01</v>
      </c>
    </row>
    <row r="482" spans="1:5" hidden="1" x14ac:dyDescent="0.2">
      <c r="A482">
        <v>60</v>
      </c>
      <c r="B482" t="s">
        <v>103</v>
      </c>
      <c r="C482">
        <f t="shared" si="9"/>
        <v>25</v>
      </c>
      <c r="D482" s="40">
        <v>9.1203414861010003E-3</v>
      </c>
      <c r="E482">
        <v>0.01</v>
      </c>
    </row>
    <row r="483" spans="1:5" hidden="1" x14ac:dyDescent="0.2">
      <c r="A483">
        <v>60</v>
      </c>
      <c r="B483" t="s">
        <v>103</v>
      </c>
      <c r="C483">
        <f t="shared" si="9"/>
        <v>26</v>
      </c>
      <c r="D483" s="40">
        <v>8.913289856935E-3</v>
      </c>
      <c r="E483">
        <v>5.0000000000000001E-3</v>
      </c>
    </row>
    <row r="484" spans="1:5" hidden="1" x14ac:dyDescent="0.2">
      <c r="A484">
        <v>60</v>
      </c>
      <c r="B484" t="s">
        <v>103</v>
      </c>
      <c r="C484">
        <f t="shared" si="9"/>
        <v>27</v>
      </c>
      <c r="D484" s="40">
        <v>8.6490652088150009E-3</v>
      </c>
      <c r="E484">
        <v>8.9999999999999993E-3</v>
      </c>
    </row>
    <row r="485" spans="1:5" hidden="1" x14ac:dyDescent="0.2">
      <c r="A485">
        <v>60</v>
      </c>
      <c r="B485" t="s">
        <v>103</v>
      </c>
      <c r="C485">
        <f t="shared" si="9"/>
        <v>28</v>
      </c>
      <c r="D485" s="40">
        <v>8.338592144879E-3</v>
      </c>
      <c r="E485">
        <v>4.0000000000000001E-3</v>
      </c>
    </row>
    <row r="486" spans="1:5" hidden="1" x14ac:dyDescent="0.2">
      <c r="A486">
        <v>60</v>
      </c>
      <c r="B486" t="s">
        <v>103</v>
      </c>
      <c r="C486">
        <f t="shared" si="9"/>
        <v>29</v>
      </c>
      <c r="D486" s="40">
        <v>7.992188712668E-3</v>
      </c>
      <c r="E486">
        <v>7.0000000000000001E-3</v>
      </c>
    </row>
    <row r="487" spans="1:5" hidden="1" x14ac:dyDescent="0.2">
      <c r="A487">
        <v>60</v>
      </c>
      <c r="B487" t="s">
        <v>103</v>
      </c>
      <c r="C487">
        <f t="shared" si="9"/>
        <v>30</v>
      </c>
      <c r="D487" s="40">
        <v>7.6193519941250001E-3</v>
      </c>
      <c r="E487">
        <v>4.0000000000000001E-3</v>
      </c>
    </row>
    <row r="488" spans="1:5" hidden="1" x14ac:dyDescent="0.2">
      <c r="A488">
        <v>60</v>
      </c>
      <c r="B488" t="s">
        <v>103</v>
      </c>
      <c r="C488">
        <f t="shared" si="9"/>
        <v>31</v>
      </c>
      <c r="D488" s="40">
        <v>7.2286269659799993E-3</v>
      </c>
      <c r="E488">
        <v>0.01</v>
      </c>
    </row>
    <row r="489" spans="1:5" hidden="1" x14ac:dyDescent="0.2">
      <c r="A489">
        <v>60</v>
      </c>
      <c r="B489" t="s">
        <v>103</v>
      </c>
      <c r="C489">
        <f t="shared" si="9"/>
        <v>32</v>
      </c>
      <c r="D489" s="40">
        <v>6.8275427522319996E-3</v>
      </c>
      <c r="E489">
        <v>4.0000000000000001E-3</v>
      </c>
    </row>
    <row r="490" spans="1:5" hidden="1" x14ac:dyDescent="0.2">
      <c r="A490">
        <v>60</v>
      </c>
      <c r="B490" t="s">
        <v>103</v>
      </c>
      <c r="C490">
        <f t="shared" si="9"/>
        <v>33</v>
      </c>
      <c r="D490" s="40">
        <v>6.4226013144739998E-3</v>
      </c>
      <c r="E490">
        <v>8.0000000000000002E-3</v>
      </c>
    </row>
    <row r="491" spans="1:5" hidden="1" x14ac:dyDescent="0.2">
      <c r="A491">
        <v>60</v>
      </c>
      <c r="B491" t="s">
        <v>103</v>
      </c>
      <c r="C491">
        <f t="shared" si="9"/>
        <v>34</v>
      </c>
      <c r="D491" s="40">
        <v>6.0193052158509994E-3</v>
      </c>
      <c r="E491">
        <v>8.9999999999999993E-3</v>
      </c>
    </row>
    <row r="492" spans="1:5" hidden="1" x14ac:dyDescent="0.2">
      <c r="A492">
        <v>60</v>
      </c>
      <c r="B492" t="s">
        <v>103</v>
      </c>
      <c r="C492">
        <f t="shared" si="9"/>
        <v>35</v>
      </c>
      <c r="D492" s="40">
        <v>5.6222129957210001E-3</v>
      </c>
      <c r="E492">
        <v>6.0000000000000001E-3</v>
      </c>
    </row>
    <row r="493" spans="1:5" hidden="1" x14ac:dyDescent="0.2">
      <c r="A493">
        <v>60</v>
      </c>
      <c r="B493" t="s">
        <v>103</v>
      </c>
      <c r="C493">
        <f t="shared" si="9"/>
        <v>36</v>
      </c>
      <c r="D493" s="40">
        <v>5.2350126643949998E-3</v>
      </c>
      <c r="E493">
        <v>6.0000000000000001E-3</v>
      </c>
    </row>
    <row r="494" spans="1:5" hidden="1" x14ac:dyDescent="0.2">
      <c r="A494">
        <v>60</v>
      </c>
      <c r="B494" t="s">
        <v>103</v>
      </c>
      <c r="C494">
        <f t="shared" si="9"/>
        <v>37</v>
      </c>
      <c r="D494" s="40">
        <v>4.8606057100139995E-3</v>
      </c>
      <c r="E494">
        <v>7.0000000000000001E-3</v>
      </c>
    </row>
    <row r="495" spans="1:5" hidden="1" x14ac:dyDescent="0.2">
      <c r="A495">
        <v>60</v>
      </c>
      <c r="B495" t="s">
        <v>103</v>
      </c>
      <c r="C495">
        <f t="shared" si="9"/>
        <v>38</v>
      </c>
      <c r="D495" s="40">
        <v>4.5011957160809996E-3</v>
      </c>
      <c r="E495">
        <v>5.0000000000000001E-3</v>
      </c>
    </row>
    <row r="496" spans="1:5" hidden="1" x14ac:dyDescent="0.2">
      <c r="A496">
        <v>60</v>
      </c>
      <c r="B496" t="s">
        <v>103</v>
      </c>
      <c r="C496">
        <f t="shared" si="9"/>
        <v>39</v>
      </c>
      <c r="D496" s="40">
        <v>4.158377168526E-3</v>
      </c>
      <c r="E496">
        <v>4.0000000000000001E-3</v>
      </c>
    </row>
    <row r="497" spans="1:5" hidden="1" x14ac:dyDescent="0.2">
      <c r="A497">
        <v>60</v>
      </c>
      <c r="B497" t="s">
        <v>103</v>
      </c>
      <c r="C497">
        <f t="shared" si="9"/>
        <v>40</v>
      </c>
      <c r="D497" s="40">
        <v>3.8332212779110001E-3</v>
      </c>
      <c r="E497">
        <v>8.9999999999999993E-3</v>
      </c>
    </row>
    <row r="498" spans="1:5" hidden="1" x14ac:dyDescent="0.2">
      <c r="A498">
        <v>60</v>
      </c>
      <c r="B498" t="s">
        <v>103</v>
      </c>
      <c r="C498">
        <f t="shared" si="9"/>
        <v>41</v>
      </c>
      <c r="D498" s="40">
        <v>3.526356658421E-3</v>
      </c>
      <c r="E498">
        <v>4.0000000000000001E-3</v>
      </c>
    </row>
    <row r="499" spans="1:5" hidden="1" x14ac:dyDescent="0.2">
      <c r="A499">
        <v>60</v>
      </c>
      <c r="B499" t="s">
        <v>103</v>
      </c>
      <c r="C499">
        <f t="shared" si="9"/>
        <v>42</v>
      </c>
      <c r="D499" s="40">
        <v>3.2380435133479999E-3</v>
      </c>
      <c r="E499">
        <v>8.0000000000000002E-3</v>
      </c>
    </row>
    <row r="500" spans="1:5" hidden="1" x14ac:dyDescent="0.2">
      <c r="A500">
        <v>60</v>
      </c>
      <c r="B500" t="s">
        <v>103</v>
      </c>
      <c r="C500">
        <f t="shared" si="9"/>
        <v>43</v>
      </c>
      <c r="D500" s="40">
        <v>2.9682406015929998E-3</v>
      </c>
      <c r="E500">
        <v>7.0000000000000001E-3</v>
      </c>
    </row>
    <row r="501" spans="1:5" hidden="1" x14ac:dyDescent="0.2">
      <c r="A501">
        <v>60</v>
      </c>
      <c r="B501" t="s">
        <v>103</v>
      </c>
      <c r="C501">
        <f t="shared" si="9"/>
        <v>44</v>
      </c>
      <c r="D501" s="40">
        <v>2.7166647274149999E-3</v>
      </c>
      <c r="E501">
        <v>5.0000000000000001E-3</v>
      </c>
    </row>
    <row r="502" spans="1:5" hidden="1" x14ac:dyDescent="0.2">
      <c r="A502">
        <v>60</v>
      </c>
      <c r="B502" t="s">
        <v>103</v>
      </c>
      <c r="C502">
        <f t="shared" si="9"/>
        <v>45</v>
      </c>
      <c r="D502" s="40">
        <v>2.4828428363359999E-3</v>
      </c>
      <c r="E502">
        <v>6.0000000000000001E-3</v>
      </c>
    </row>
    <row r="503" spans="1:5" hidden="1" x14ac:dyDescent="0.2">
      <c r="A503">
        <v>60</v>
      </c>
      <c r="B503" t="s">
        <v>103</v>
      </c>
      <c r="C503">
        <f t="shared" si="9"/>
        <v>46</v>
      </c>
      <c r="D503" s="40">
        <v>2.2661570348639997E-3</v>
      </c>
      <c r="E503">
        <v>0.01</v>
      </c>
    </row>
    <row r="504" spans="1:5" hidden="1" x14ac:dyDescent="0.2">
      <c r="A504">
        <v>60</v>
      </c>
      <c r="B504" t="s">
        <v>103</v>
      </c>
      <c r="C504">
        <f t="shared" si="9"/>
        <v>47</v>
      </c>
      <c r="D504" s="40">
        <v>2.065883005903E-3</v>
      </c>
      <c r="E504">
        <v>0.01</v>
      </c>
    </row>
    <row r="505" spans="1:5" hidden="1" x14ac:dyDescent="0.2">
      <c r="A505">
        <v>60</v>
      </c>
      <c r="B505" t="s">
        <v>103</v>
      </c>
      <c r="C505">
        <f t="shared" si="9"/>
        <v>48</v>
      </c>
      <c r="D505" s="40">
        <v>1.8812223822949998E-3</v>
      </c>
      <c r="E505">
        <v>5.0000000000000001E-3</v>
      </c>
    </row>
    <row r="506" spans="1:5" hidden="1" x14ac:dyDescent="0.2">
      <c r="A506">
        <v>60</v>
      </c>
      <c r="B506" t="s">
        <v>103</v>
      </c>
      <c r="C506">
        <f t="shared" si="9"/>
        <v>49</v>
      </c>
      <c r="D506" s="40">
        <v>1.7113296836090001E-3</v>
      </c>
      <c r="E506">
        <v>8.9999999999999993E-3</v>
      </c>
    </row>
    <row r="507" spans="1:5" hidden="1" x14ac:dyDescent="0.2">
      <c r="A507">
        <v>60</v>
      </c>
      <c r="B507" t="s">
        <v>103</v>
      </c>
      <c r="C507">
        <f t="shared" si="9"/>
        <v>50</v>
      </c>
      <c r="D507" s="40">
        <v>1.5553344305434E-3</v>
      </c>
      <c r="E507">
        <v>4.0000000000000001E-3</v>
      </c>
    </row>
    <row r="508" spans="1:5" hidden="1" x14ac:dyDescent="0.2">
      <c r="A508">
        <v>60</v>
      </c>
      <c r="B508" t="s">
        <v>103</v>
      </c>
      <c r="C508">
        <f t="shared" si="9"/>
        <v>51</v>
      </c>
      <c r="D508" s="40">
        <v>1.4123590350578999E-3</v>
      </c>
      <c r="E508">
        <v>7.0000000000000001E-3</v>
      </c>
    </row>
    <row r="509" spans="1:5" hidden="1" x14ac:dyDescent="0.2">
      <c r="A509">
        <v>60</v>
      </c>
      <c r="B509" t="s">
        <v>103</v>
      </c>
      <c r="C509">
        <f t="shared" si="9"/>
        <v>52</v>
      </c>
      <c r="D509" s="40">
        <v>1.2815330327684E-3</v>
      </c>
      <c r="E509">
        <v>4.0000000000000001E-3</v>
      </c>
    </row>
    <row r="510" spans="1:5" hidden="1" x14ac:dyDescent="0.2">
      <c r="A510">
        <v>60</v>
      </c>
      <c r="B510" t="s">
        <v>103</v>
      </c>
      <c r="C510">
        <f t="shared" si="9"/>
        <v>53</v>
      </c>
      <c r="D510" s="40">
        <v>1.1620041818151999E-3</v>
      </c>
      <c r="E510">
        <v>0.01</v>
      </c>
    </row>
    <row r="511" spans="1:5" hidden="1" x14ac:dyDescent="0.2">
      <c r="A511">
        <v>60</v>
      </c>
      <c r="B511" t="s">
        <v>103</v>
      </c>
      <c r="C511">
        <f t="shared" si="9"/>
        <v>54</v>
      </c>
      <c r="D511" s="40">
        <v>1.0529469050817E-3</v>
      </c>
      <c r="E511">
        <v>0.01</v>
      </c>
    </row>
    <row r="512" spans="1:5" hidden="1" x14ac:dyDescent="0.2">
      <c r="A512">
        <v>60</v>
      </c>
      <c r="B512" t="s">
        <v>103</v>
      </c>
      <c r="C512">
        <f t="shared" si="9"/>
        <v>55</v>
      </c>
      <c r="D512" s="40">
        <v>9.5356850293449994E-4</v>
      </c>
      <c r="E512">
        <v>5.0000000000000001E-3</v>
      </c>
    </row>
    <row r="513" spans="1:5" hidden="1" x14ac:dyDescent="0.2">
      <c r="A513">
        <v>60</v>
      </c>
      <c r="B513" t="s">
        <v>103</v>
      </c>
      <c r="C513">
        <f t="shared" si="9"/>
        <v>56</v>
      </c>
      <c r="D513" s="40">
        <v>8.6311351442209996E-4</v>
      </c>
      <c r="E513">
        <v>8.9999999999999993E-3</v>
      </c>
    </row>
    <row r="514" spans="1:5" hidden="1" x14ac:dyDescent="0.2">
      <c r="A514">
        <v>60</v>
      </c>
      <c r="B514" t="s">
        <v>103</v>
      </c>
      <c r="C514">
        <f t="shared" si="9"/>
        <v>57</v>
      </c>
      <c r="D514" s="40">
        <v>7.8086655753459994E-4</v>
      </c>
      <c r="E514">
        <v>4.0000000000000001E-3</v>
      </c>
    </row>
    <row r="515" spans="1:5" hidden="1" x14ac:dyDescent="0.2">
      <c r="A515">
        <v>60</v>
      </c>
      <c r="B515" t="s">
        <v>103</v>
      </c>
      <c r="C515">
        <f t="shared" si="9"/>
        <v>58</v>
      </c>
      <c r="D515" s="40">
        <v>7.061539348706999E-4</v>
      </c>
      <c r="E515">
        <v>7.0000000000000001E-3</v>
      </c>
    </row>
    <row r="516" spans="1:5" hidden="1" x14ac:dyDescent="0.2">
      <c r="A516">
        <v>60</v>
      </c>
      <c r="B516" t="s">
        <v>103</v>
      </c>
      <c r="C516">
        <f t="shared" si="9"/>
        <v>59</v>
      </c>
      <c r="D516" s="40">
        <v>6.3834425034839989E-4</v>
      </c>
      <c r="E516">
        <v>4.0000000000000001E-3</v>
      </c>
    </row>
    <row r="517" spans="1:5" hidden="1" x14ac:dyDescent="0.2">
      <c r="A517">
        <v>60</v>
      </c>
      <c r="B517" t="s">
        <v>103</v>
      </c>
      <c r="C517">
        <f t="shared" si="9"/>
        <v>60</v>
      </c>
      <c r="D517" s="40">
        <v>5.7684824589110005E-4</v>
      </c>
      <c r="E517">
        <v>0.01</v>
      </c>
    </row>
    <row r="518" spans="1:5" hidden="1" x14ac:dyDescent="0.2">
      <c r="A518">
        <v>60</v>
      </c>
      <c r="B518" t="s">
        <v>52</v>
      </c>
      <c r="C518">
        <v>1</v>
      </c>
      <c r="D518" s="40">
        <v>0</v>
      </c>
      <c r="E518">
        <v>0.01</v>
      </c>
    </row>
    <row r="519" spans="1:5" hidden="1" x14ac:dyDescent="0.2">
      <c r="A519">
        <v>60</v>
      </c>
      <c r="B519" t="s">
        <v>52</v>
      </c>
      <c r="C519">
        <f>C518+1</f>
        <v>2</v>
      </c>
      <c r="D519" s="40">
        <v>0</v>
      </c>
      <c r="E519">
        <v>8.0000000000000002E-3</v>
      </c>
    </row>
    <row r="520" spans="1:5" hidden="1" x14ac:dyDescent="0.2">
      <c r="A520">
        <v>60</v>
      </c>
      <c r="B520" t="s">
        <v>52</v>
      </c>
      <c r="C520">
        <f t="shared" ref="C520:C577" si="10">C519+1</f>
        <v>3</v>
      </c>
      <c r="D520" s="40">
        <v>4.0671633845500001E-10</v>
      </c>
      <c r="E520">
        <v>0.01</v>
      </c>
    </row>
    <row r="521" spans="1:5" hidden="1" x14ac:dyDescent="0.2">
      <c r="A521">
        <v>60</v>
      </c>
      <c r="B521" t="s">
        <v>52</v>
      </c>
      <c r="C521">
        <f t="shared" si="10"/>
        <v>4</v>
      </c>
      <c r="D521" s="40">
        <v>3.4879175748099999E-6</v>
      </c>
      <c r="E521">
        <v>8.0000000000000002E-3</v>
      </c>
    </row>
    <row r="522" spans="1:5" hidden="1" x14ac:dyDescent="0.2">
      <c r="A522">
        <v>60</v>
      </c>
      <c r="B522" t="s">
        <v>52</v>
      </c>
      <c r="C522">
        <f t="shared" si="10"/>
        <v>5</v>
      </c>
      <c r="D522" s="40">
        <v>6.4985749962899998E-5</v>
      </c>
      <c r="E522">
        <v>8.0000000000000002E-3</v>
      </c>
    </row>
    <row r="523" spans="1:5" hidden="1" x14ac:dyDescent="0.2">
      <c r="A523">
        <v>60</v>
      </c>
      <c r="B523" t="s">
        <v>52</v>
      </c>
      <c r="C523">
        <f t="shared" si="10"/>
        <v>6</v>
      </c>
      <c r="D523" s="40">
        <v>2.95515260607E-4</v>
      </c>
      <c r="E523">
        <v>0.01</v>
      </c>
    </row>
    <row r="524" spans="1:5" hidden="1" x14ac:dyDescent="0.2">
      <c r="A524">
        <v>60</v>
      </c>
      <c r="B524" t="s">
        <v>52</v>
      </c>
      <c r="C524">
        <f t="shared" si="10"/>
        <v>7</v>
      </c>
      <c r="D524" s="40">
        <v>7.43306531606E-4</v>
      </c>
      <c r="E524">
        <v>4.0000000000000001E-3</v>
      </c>
    </row>
    <row r="525" spans="1:5" hidden="1" x14ac:dyDescent="0.2">
      <c r="A525">
        <v>60</v>
      </c>
      <c r="B525" t="s">
        <v>52</v>
      </c>
      <c r="C525">
        <f t="shared" si="10"/>
        <v>8</v>
      </c>
      <c r="D525" s="40">
        <v>1.36748149779E-3</v>
      </c>
      <c r="E525">
        <v>5.0000000000000001E-3</v>
      </c>
    </row>
    <row r="526" spans="1:5" hidden="1" x14ac:dyDescent="0.2">
      <c r="A526">
        <v>60</v>
      </c>
      <c r="B526" t="s">
        <v>52</v>
      </c>
      <c r="C526">
        <f t="shared" si="10"/>
        <v>9</v>
      </c>
      <c r="D526" s="40">
        <v>2.0855712539400001E-3</v>
      </c>
      <c r="E526">
        <v>7.0000000000000001E-3</v>
      </c>
    </row>
    <row r="527" spans="1:5" hidden="1" x14ac:dyDescent="0.2">
      <c r="A527">
        <v>60</v>
      </c>
      <c r="B527" t="s">
        <v>52</v>
      </c>
      <c r="C527">
        <f t="shared" si="10"/>
        <v>10</v>
      </c>
      <c r="D527" s="40">
        <v>2.81544981379E-3</v>
      </c>
      <c r="E527">
        <v>5.0000000000000001E-3</v>
      </c>
    </row>
    <row r="528" spans="1:5" hidden="1" x14ac:dyDescent="0.2">
      <c r="A528">
        <v>60</v>
      </c>
      <c r="B528" t="s">
        <v>52</v>
      </c>
      <c r="C528">
        <f t="shared" si="10"/>
        <v>11</v>
      </c>
      <c r="D528" s="40">
        <v>3.49456439456E-3</v>
      </c>
      <c r="E528">
        <v>8.0000000000000002E-3</v>
      </c>
    </row>
    <row r="529" spans="1:5" hidden="1" x14ac:dyDescent="0.2">
      <c r="A529">
        <v>60</v>
      </c>
      <c r="B529" t="s">
        <v>52</v>
      </c>
      <c r="C529">
        <f t="shared" si="10"/>
        <v>12</v>
      </c>
      <c r="D529" s="40">
        <v>4.0836457666300003E-3</v>
      </c>
      <c r="E529">
        <v>6.0000000000000001E-3</v>
      </c>
    </row>
    <row r="530" spans="1:5" hidden="1" x14ac:dyDescent="0.2">
      <c r="A530">
        <v>60</v>
      </c>
      <c r="B530" t="s">
        <v>52</v>
      </c>
      <c r="C530">
        <f t="shared" si="10"/>
        <v>13</v>
      </c>
      <c r="D530" s="40">
        <v>4.5633563605099996E-3</v>
      </c>
      <c r="E530">
        <v>5.0000000000000001E-3</v>
      </c>
    </row>
    <row r="531" spans="1:5" hidden="1" x14ac:dyDescent="0.2">
      <c r="A531">
        <v>60</v>
      </c>
      <c r="B531" t="s">
        <v>52</v>
      </c>
      <c r="C531">
        <f t="shared" si="10"/>
        <v>14</v>
      </c>
      <c r="D531" s="40">
        <v>4.9289301029300002E-3</v>
      </c>
      <c r="E531">
        <v>8.0000000000000002E-3</v>
      </c>
    </row>
    <row r="532" spans="1:5" hidden="1" x14ac:dyDescent="0.2">
      <c r="A532">
        <v>60</v>
      </c>
      <c r="B532" t="s">
        <v>52</v>
      </c>
      <c r="C532">
        <f t="shared" si="10"/>
        <v>15</v>
      </c>
      <c r="D532" s="40">
        <v>5.1851041952899997E-3</v>
      </c>
      <c r="E532">
        <v>5.0000000000000001E-3</v>
      </c>
    </row>
    <row r="533" spans="1:5" hidden="1" x14ac:dyDescent="0.2">
      <c r="A533">
        <v>60</v>
      </c>
      <c r="B533" t="s">
        <v>52</v>
      </c>
      <c r="C533">
        <f t="shared" si="10"/>
        <v>16</v>
      </c>
      <c r="D533" s="40">
        <v>5.3421177107800004E-3</v>
      </c>
      <c r="E533">
        <v>7.0000000000000001E-3</v>
      </c>
    </row>
    <row r="534" spans="1:5" hidden="1" x14ac:dyDescent="0.2">
      <c r="A534">
        <v>60</v>
      </c>
      <c r="B534" t="s">
        <v>52</v>
      </c>
      <c r="C534">
        <f t="shared" si="10"/>
        <v>17</v>
      </c>
      <c r="D534" s="40">
        <v>5.4128549206499997E-3</v>
      </c>
      <c r="E534">
        <v>5.0000000000000001E-3</v>
      </c>
    </row>
    <row r="535" spans="1:5" hidden="1" x14ac:dyDescent="0.2">
      <c r="A535">
        <v>60</v>
      </c>
      <c r="B535" t="s">
        <v>52</v>
      </c>
      <c r="C535">
        <f t="shared" si="10"/>
        <v>18</v>
      </c>
      <c r="D535" s="40">
        <v>5.41095274594E-3</v>
      </c>
      <c r="E535">
        <v>4.0000000000000001E-3</v>
      </c>
    </row>
    <row r="536" spans="1:5" hidden="1" x14ac:dyDescent="0.2">
      <c r="A536">
        <v>60</v>
      </c>
      <c r="B536" t="s">
        <v>52</v>
      </c>
      <c r="C536">
        <f t="shared" si="10"/>
        <v>19</v>
      </c>
      <c r="D536" s="40">
        <v>5.3496346388600003E-3</v>
      </c>
      <c r="E536">
        <v>8.9999999999999993E-3</v>
      </c>
    </row>
    <row r="537" spans="1:5" hidden="1" x14ac:dyDescent="0.2">
      <c r="A537">
        <v>60</v>
      </c>
      <c r="B537" t="s">
        <v>52</v>
      </c>
      <c r="C537">
        <f t="shared" si="10"/>
        <v>20</v>
      </c>
      <c r="D537" s="40">
        <v>5.2410556041600003E-3</v>
      </c>
      <c r="E537">
        <v>4.0000000000000001E-3</v>
      </c>
    </row>
    <row r="538" spans="1:5" hidden="1" x14ac:dyDescent="0.2">
      <c r="A538">
        <v>60</v>
      </c>
      <c r="B538" t="s">
        <v>52</v>
      </c>
      <c r="C538">
        <f t="shared" si="10"/>
        <v>21</v>
      </c>
      <c r="D538" s="40">
        <v>5.09598863889E-3</v>
      </c>
      <c r="E538">
        <v>8.0000000000000002E-3</v>
      </c>
    </row>
    <row r="539" spans="1:5" hidden="1" x14ac:dyDescent="0.2">
      <c r="A539">
        <v>60</v>
      </c>
      <c r="B539" t="s">
        <v>52</v>
      </c>
      <c r="C539">
        <f t="shared" si="10"/>
        <v>22</v>
      </c>
      <c r="D539" s="40">
        <v>4.9237283834399998E-3</v>
      </c>
      <c r="E539">
        <v>7.0000000000000001E-3</v>
      </c>
    </row>
    <row r="540" spans="1:5" hidden="1" x14ac:dyDescent="0.2">
      <c r="A540">
        <v>60</v>
      </c>
      <c r="B540" t="s">
        <v>52</v>
      </c>
      <c r="C540">
        <f t="shared" si="10"/>
        <v>23</v>
      </c>
      <c r="D540" s="40">
        <v>4.7321254082999999E-3</v>
      </c>
      <c r="E540">
        <v>5.0000000000000001E-3</v>
      </c>
    </row>
    <row r="541" spans="1:5" hidden="1" x14ac:dyDescent="0.2">
      <c r="A541">
        <v>60</v>
      </c>
      <c r="B541" t="s">
        <v>52</v>
      </c>
      <c r="C541">
        <f t="shared" si="10"/>
        <v>24</v>
      </c>
      <c r="D541" s="40">
        <v>4.5276930275899999E-3</v>
      </c>
      <c r="E541">
        <v>6.0000000000000001E-3</v>
      </c>
    </row>
    <row r="542" spans="1:5" hidden="1" x14ac:dyDescent="0.2">
      <c r="A542">
        <v>60</v>
      </c>
      <c r="B542" t="s">
        <v>52</v>
      </c>
      <c r="C542">
        <f t="shared" si="10"/>
        <v>25</v>
      </c>
      <c r="D542" s="40">
        <v>4.3157489646400002E-3</v>
      </c>
      <c r="E542">
        <v>0.01</v>
      </c>
    </row>
    <row r="543" spans="1:5" hidden="1" x14ac:dyDescent="0.2">
      <c r="A543">
        <v>60</v>
      </c>
      <c r="B543" t="s">
        <v>52</v>
      </c>
      <c r="C543">
        <f t="shared" si="10"/>
        <v>26</v>
      </c>
      <c r="D543" s="40">
        <v>4.10056834591E-3</v>
      </c>
      <c r="E543">
        <v>0.01</v>
      </c>
    </row>
    <row r="544" spans="1:5" hidden="1" x14ac:dyDescent="0.2">
      <c r="A544">
        <v>60</v>
      </c>
      <c r="B544" t="s">
        <v>52</v>
      </c>
      <c r="C544">
        <f t="shared" si="10"/>
        <v>27</v>
      </c>
      <c r="D544" s="40">
        <v>3.8855340266800002E-3</v>
      </c>
      <c r="E544">
        <v>5.0000000000000001E-3</v>
      </c>
    </row>
    <row r="545" spans="1:5" hidden="1" x14ac:dyDescent="0.2">
      <c r="A545">
        <v>60</v>
      </c>
      <c r="B545" t="s">
        <v>52</v>
      </c>
      <c r="C545">
        <f t="shared" si="10"/>
        <v>28</v>
      </c>
      <c r="D545" s="40">
        <v>3.6732765044200002E-3</v>
      </c>
      <c r="E545">
        <v>8.9999999999999993E-3</v>
      </c>
    </row>
    <row r="546" spans="1:5" hidden="1" x14ac:dyDescent="0.2">
      <c r="A546">
        <v>60</v>
      </c>
      <c r="B546" t="s">
        <v>52</v>
      </c>
      <c r="C546">
        <f t="shared" si="10"/>
        <v>29</v>
      </c>
      <c r="D546" s="40">
        <v>3.4657996701900002E-3</v>
      </c>
      <c r="E546">
        <v>4.0000000000000001E-3</v>
      </c>
    </row>
    <row r="547" spans="1:5" hidden="1" x14ac:dyDescent="0.2">
      <c r="A547">
        <v>60</v>
      </c>
      <c r="B547" t="s">
        <v>52</v>
      </c>
      <c r="C547">
        <f t="shared" si="10"/>
        <v>30</v>
      </c>
      <c r="D547" s="40">
        <v>3.2645911212E-3</v>
      </c>
      <c r="E547">
        <v>7.0000000000000001E-3</v>
      </c>
    </row>
    <row r="548" spans="1:5" hidden="1" x14ac:dyDescent="0.2">
      <c r="A548">
        <v>60</v>
      </c>
      <c r="B548" t="s">
        <v>52</v>
      </c>
      <c r="C548">
        <f t="shared" si="10"/>
        <v>31</v>
      </c>
      <c r="D548" s="40">
        <v>3.07071722168E-3</v>
      </c>
      <c r="E548">
        <v>4.0000000000000001E-3</v>
      </c>
    </row>
    <row r="549" spans="1:5" hidden="1" x14ac:dyDescent="0.2">
      <c r="A549">
        <v>60</v>
      </c>
      <c r="B549" t="s">
        <v>52</v>
      </c>
      <c r="C549">
        <f t="shared" si="10"/>
        <v>32</v>
      </c>
      <c r="D549" s="40">
        <v>2.8849039105499998E-3</v>
      </c>
      <c r="E549">
        <v>0.01</v>
      </c>
    </row>
    <row r="550" spans="1:5" hidden="1" x14ac:dyDescent="0.2">
      <c r="A550">
        <v>60</v>
      </c>
      <c r="B550" t="s">
        <v>52</v>
      </c>
      <c r="C550">
        <f t="shared" si="10"/>
        <v>33</v>
      </c>
      <c r="D550" s="40">
        <v>2.70760465024E-3</v>
      </c>
      <c r="E550">
        <v>4.0000000000000001E-3</v>
      </c>
    </row>
    <row r="551" spans="1:5" hidden="1" x14ac:dyDescent="0.2">
      <c r="A551">
        <v>60</v>
      </c>
      <c r="B551" t="s">
        <v>52</v>
      </c>
      <c r="C551">
        <f t="shared" si="10"/>
        <v>34</v>
      </c>
      <c r="D551" s="40">
        <v>2.5390570521200001E-3</v>
      </c>
      <c r="E551">
        <v>8.0000000000000002E-3</v>
      </c>
    </row>
    <row r="552" spans="1:5" hidden="1" x14ac:dyDescent="0.2">
      <c r="A552">
        <v>60</v>
      </c>
      <c r="B552" t="s">
        <v>52</v>
      </c>
      <c r="C552">
        <f t="shared" si="10"/>
        <v>35</v>
      </c>
      <c r="D552" s="40">
        <v>2.3793297030000001E-3</v>
      </c>
      <c r="E552">
        <v>8.9999999999999993E-3</v>
      </c>
    </row>
    <row r="553" spans="1:5" hidden="1" x14ac:dyDescent="0.2">
      <c r="A553">
        <v>60</v>
      </c>
      <c r="B553" t="s">
        <v>52</v>
      </c>
      <c r="C553">
        <f t="shared" si="10"/>
        <v>36</v>
      </c>
      <c r="D553" s="40">
        <v>2.2283606230599998E-3</v>
      </c>
      <c r="E553">
        <v>6.0000000000000001E-3</v>
      </c>
    </row>
    <row r="554" spans="1:5" hidden="1" x14ac:dyDescent="0.2">
      <c r="A554">
        <v>60</v>
      </c>
      <c r="B554" t="s">
        <v>52</v>
      </c>
      <c r="C554">
        <f t="shared" si="10"/>
        <v>37</v>
      </c>
      <c r="D554" s="40">
        <v>2.0859886489799999E-3</v>
      </c>
      <c r="E554">
        <v>6.0000000000000001E-3</v>
      </c>
    </row>
    <row r="555" spans="1:5" hidden="1" x14ac:dyDescent="0.2">
      <c r="A555">
        <v>60</v>
      </c>
      <c r="B555" t="s">
        <v>52</v>
      </c>
      <c r="C555">
        <f t="shared" si="10"/>
        <v>38</v>
      </c>
      <c r="D555" s="40">
        <v>1.9519788854700001E-3</v>
      </c>
      <c r="E555">
        <v>7.0000000000000001E-3</v>
      </c>
    </row>
    <row r="556" spans="1:5" hidden="1" x14ac:dyDescent="0.2">
      <c r="A556">
        <v>60</v>
      </c>
      <c r="B556" t="s">
        <v>52</v>
      </c>
      <c r="C556">
        <f t="shared" si="10"/>
        <v>39</v>
      </c>
      <c r="D556" s="40">
        <v>1.8260432165000001E-3</v>
      </c>
      <c r="E556">
        <v>5.0000000000000001E-3</v>
      </c>
    </row>
    <row r="557" spans="1:5" hidden="1" x14ac:dyDescent="0.2">
      <c r="A557">
        <v>60</v>
      </c>
      <c r="B557" t="s">
        <v>52</v>
      </c>
      <c r="C557">
        <f t="shared" si="10"/>
        <v>40</v>
      </c>
      <c r="D557" s="40">
        <v>1.7078567260600001E-3</v>
      </c>
      <c r="E557">
        <v>4.0000000000000001E-3</v>
      </c>
    </row>
    <row r="558" spans="1:5" hidden="1" x14ac:dyDescent="0.2">
      <c r="A558">
        <v>60</v>
      </c>
      <c r="B558" t="s">
        <v>52</v>
      </c>
      <c r="C558">
        <f t="shared" si="10"/>
        <v>41</v>
      </c>
      <c r="D558" s="40">
        <v>1.5970707487099999E-3</v>
      </c>
      <c r="E558">
        <v>8.9999999999999993E-3</v>
      </c>
    </row>
    <row r="559" spans="1:5" hidden="1" x14ac:dyDescent="0.2">
      <c r="A559">
        <v>60</v>
      </c>
      <c r="B559" t="s">
        <v>52</v>
      </c>
      <c r="C559">
        <f t="shared" si="10"/>
        <v>42</v>
      </c>
      <c r="D559" s="40">
        <v>1.4933231563399999E-3</v>
      </c>
      <c r="E559">
        <v>4.0000000000000001E-3</v>
      </c>
    </row>
    <row r="560" spans="1:5" hidden="1" x14ac:dyDescent="0.2">
      <c r="A560">
        <v>60</v>
      </c>
      <c r="B560" t="s">
        <v>52</v>
      </c>
      <c r="C560">
        <f t="shared" si="10"/>
        <v>43</v>
      </c>
      <c r="D560" s="40">
        <v>1.3962463879500001E-3</v>
      </c>
      <c r="E560">
        <v>8.0000000000000002E-3</v>
      </c>
    </row>
    <row r="561" spans="1:5" hidden="1" x14ac:dyDescent="0.2">
      <c r="A561">
        <v>60</v>
      </c>
      <c r="B561" t="s">
        <v>52</v>
      </c>
      <c r="C561">
        <f t="shared" si="10"/>
        <v>44</v>
      </c>
      <c r="D561" s="40">
        <v>1.30547364436E-3</v>
      </c>
      <c r="E561">
        <v>7.0000000000000001E-3</v>
      </c>
    </row>
    <row r="562" spans="1:5" hidden="1" x14ac:dyDescent="0.2">
      <c r="A562">
        <v>60</v>
      </c>
      <c r="B562" t="s">
        <v>52</v>
      </c>
      <c r="C562">
        <f t="shared" si="10"/>
        <v>45</v>
      </c>
      <c r="D562" s="40">
        <v>1.22064359694E-3</v>
      </c>
      <c r="E562">
        <v>5.0000000000000001E-3</v>
      </c>
    </row>
    <row r="563" spans="1:5" hidden="1" x14ac:dyDescent="0.2">
      <c r="A563">
        <v>60</v>
      </c>
      <c r="B563" t="s">
        <v>52</v>
      </c>
      <c r="C563">
        <f t="shared" si="10"/>
        <v>46</v>
      </c>
      <c r="D563" s="40">
        <v>1.14140389867E-3</v>
      </c>
      <c r="E563">
        <v>6.0000000000000001E-3</v>
      </c>
    </row>
    <row r="564" spans="1:5" hidden="1" x14ac:dyDescent="0.2">
      <c r="A564">
        <v>60</v>
      </c>
      <c r="B564" t="s">
        <v>52</v>
      </c>
      <c r="C564">
        <f t="shared" si="10"/>
        <v>47</v>
      </c>
      <c r="D564" s="40">
        <v>1.0674137343800001E-3</v>
      </c>
      <c r="E564">
        <v>0.01</v>
      </c>
    </row>
    <row r="565" spans="1:5" hidden="1" x14ac:dyDescent="0.2">
      <c r="A565">
        <v>60</v>
      </c>
      <c r="B565" t="s">
        <v>52</v>
      </c>
      <c r="C565">
        <f t="shared" si="10"/>
        <v>48</v>
      </c>
      <c r="D565" s="40">
        <v>9.9834560446800005E-4</v>
      </c>
      <c r="E565">
        <v>0.01</v>
      </c>
    </row>
    <row r="566" spans="1:5" hidden="1" x14ac:dyDescent="0.2">
      <c r="A566">
        <v>60</v>
      </c>
      <c r="B566" t="s">
        <v>52</v>
      </c>
      <c r="C566">
        <f t="shared" si="10"/>
        <v>49</v>
      </c>
      <c r="D566" s="40">
        <v>9.3388650081599998E-4</v>
      </c>
      <c r="E566">
        <v>5.0000000000000001E-3</v>
      </c>
    </row>
    <row r="567" spans="1:5" hidden="1" x14ac:dyDescent="0.2">
      <c r="A567">
        <v>60</v>
      </c>
      <c r="B567" t="s">
        <v>52</v>
      </c>
      <c r="C567">
        <f t="shared" si="10"/>
        <v>50</v>
      </c>
      <c r="D567" s="40">
        <v>8.7373860419899996E-4</v>
      </c>
      <c r="E567">
        <v>8.9999999999999993E-3</v>
      </c>
    </row>
    <row r="568" spans="1:5" hidden="1" x14ac:dyDescent="0.2">
      <c r="A568">
        <v>60</v>
      </c>
      <c r="B568" t="s">
        <v>52</v>
      </c>
      <c r="C568">
        <f t="shared" si="10"/>
        <v>51</v>
      </c>
      <c r="D568" s="40">
        <v>8.1761960836499998E-4</v>
      </c>
      <c r="E568">
        <v>4.0000000000000001E-3</v>
      </c>
    </row>
    <row r="569" spans="1:5" hidden="1" x14ac:dyDescent="0.2">
      <c r="A569">
        <v>60</v>
      </c>
      <c r="B569" t="s">
        <v>52</v>
      </c>
      <c r="C569">
        <f t="shared" si="10"/>
        <v>52</v>
      </c>
      <c r="D569" s="40">
        <v>7.6526275585100001E-4</v>
      </c>
      <c r="E569">
        <v>7.0000000000000001E-3</v>
      </c>
    </row>
    <row r="570" spans="1:5" hidden="1" x14ac:dyDescent="0.2">
      <c r="A570">
        <v>60</v>
      </c>
      <c r="B570" t="s">
        <v>52</v>
      </c>
      <c r="C570">
        <f t="shared" si="10"/>
        <v>53</v>
      </c>
      <c r="D570" s="40">
        <v>7.1641665427699998E-4</v>
      </c>
      <c r="E570">
        <v>4.0000000000000001E-3</v>
      </c>
    </row>
    <row r="571" spans="1:5" hidden="1" x14ac:dyDescent="0.2">
      <c r="A571">
        <v>60</v>
      </c>
      <c r="B571" t="s">
        <v>52</v>
      </c>
      <c r="C571">
        <f t="shared" si="10"/>
        <v>54</v>
      </c>
      <c r="D571" s="40">
        <v>6.7084492837700003E-4</v>
      </c>
      <c r="E571">
        <v>0.01</v>
      </c>
    </row>
    <row r="572" spans="1:5" hidden="1" x14ac:dyDescent="0.2">
      <c r="A572">
        <v>60</v>
      </c>
      <c r="B572" t="s">
        <v>52</v>
      </c>
      <c r="C572">
        <f t="shared" si="10"/>
        <v>55</v>
      </c>
      <c r="D572" s="40">
        <v>6.2832575204199996E-4</v>
      </c>
      <c r="E572">
        <v>0.01</v>
      </c>
    </row>
    <row r="573" spans="1:5" hidden="1" x14ac:dyDescent="0.2">
      <c r="A573">
        <v>60</v>
      </c>
      <c r="B573" t="s">
        <v>52</v>
      </c>
      <c r="C573">
        <f t="shared" si="10"/>
        <v>56</v>
      </c>
      <c r="D573" s="40">
        <v>5.8865129566299998E-4</v>
      </c>
      <c r="E573">
        <v>5.0000000000000001E-3</v>
      </c>
    </row>
    <row r="574" spans="1:5" hidden="1" x14ac:dyDescent="0.2">
      <c r="A574">
        <v>60</v>
      </c>
      <c r="B574" t="s">
        <v>52</v>
      </c>
      <c r="C574">
        <f t="shared" si="10"/>
        <v>57</v>
      </c>
      <c r="D574" s="40">
        <v>5.5162711673799997E-4</v>
      </c>
      <c r="E574">
        <v>8.9999999999999993E-3</v>
      </c>
    </row>
    <row r="575" spans="1:5" hidden="1" x14ac:dyDescent="0.2">
      <c r="A575">
        <v>60</v>
      </c>
      <c r="B575" t="s">
        <v>52</v>
      </c>
      <c r="C575">
        <f t="shared" si="10"/>
        <v>58</v>
      </c>
      <c r="D575" s="40">
        <v>5.1707151579199995E-4</v>
      </c>
      <c r="E575">
        <v>4.0000000000000001E-3</v>
      </c>
    </row>
    <row r="576" spans="1:5" hidden="1" x14ac:dyDescent="0.2">
      <c r="A576">
        <v>60</v>
      </c>
      <c r="B576" t="s">
        <v>52</v>
      </c>
      <c r="C576">
        <f t="shared" si="10"/>
        <v>59</v>
      </c>
      <c r="D576" s="40">
        <v>4.8481487478399998E-4</v>
      </c>
      <c r="E576">
        <v>7.0000000000000001E-3</v>
      </c>
    </row>
    <row r="577" spans="1:5" hidden="1" x14ac:dyDescent="0.2">
      <c r="A577">
        <v>60</v>
      </c>
      <c r="B577" t="s">
        <v>52</v>
      </c>
      <c r="C577">
        <f t="shared" si="10"/>
        <v>60</v>
      </c>
      <c r="D577" s="40">
        <v>4.5469899132500002E-4</v>
      </c>
      <c r="E577">
        <v>4.0000000000000001E-3</v>
      </c>
    </row>
  </sheetData>
  <autoFilter ref="A1:E577">
    <filterColumn colId="0">
      <filters>
        <filter val="36"/>
      </filters>
    </filterColumn>
    <filterColumn colId="1">
      <filters>
        <filter val="A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3:K28"/>
  <sheetViews>
    <sheetView workbookViewId="0">
      <selection activeCell="J17" sqref="J17"/>
    </sheetView>
  </sheetViews>
  <sheetFormatPr baseColWidth="10" defaultRowHeight="16" x14ac:dyDescent="0.2"/>
  <cols>
    <col min="1" max="1" width="12.6640625" bestFit="1" customWidth="1"/>
    <col min="2" max="2" width="10.33203125" customWidth="1"/>
    <col min="3" max="3" width="15.1640625" bestFit="1" customWidth="1"/>
  </cols>
  <sheetData>
    <row r="3" spans="1:11" x14ac:dyDescent="0.2">
      <c r="C3" t="s">
        <v>10</v>
      </c>
      <c r="D3" s="5">
        <v>9.5000000000000001E-2</v>
      </c>
    </row>
    <row r="4" spans="1:11" x14ac:dyDescent="0.2">
      <c r="C4" t="s">
        <v>11</v>
      </c>
      <c r="D4" s="2">
        <v>0</v>
      </c>
    </row>
    <row r="5" spans="1:11" x14ac:dyDescent="0.2">
      <c r="C5" t="s">
        <v>111</v>
      </c>
      <c r="D5">
        <v>0.02</v>
      </c>
    </row>
    <row r="6" spans="1:11" x14ac:dyDescent="0.2">
      <c r="C6" t="s">
        <v>12</v>
      </c>
      <c r="D6">
        <v>0.04</v>
      </c>
    </row>
    <row r="7" spans="1:11" x14ac:dyDescent="0.2">
      <c r="C7" t="s">
        <v>13</v>
      </c>
      <c r="D7">
        <v>0.01</v>
      </c>
    </row>
    <row r="8" spans="1:11" x14ac:dyDescent="0.2">
      <c r="C8" t="s">
        <v>14</v>
      </c>
      <c r="D8">
        <v>0.18</v>
      </c>
    </row>
    <row r="10" spans="1:11" x14ac:dyDescent="0.2">
      <c r="A10" t="s">
        <v>15</v>
      </c>
      <c r="B10" s="3">
        <v>36</v>
      </c>
    </row>
    <row r="11" spans="1:11" x14ac:dyDescent="0.2">
      <c r="A11" t="s">
        <v>16</v>
      </c>
      <c r="B11" s="3" t="s">
        <v>19</v>
      </c>
    </row>
    <row r="12" spans="1:11" x14ac:dyDescent="0.2">
      <c r="A12" t="s">
        <v>17</v>
      </c>
      <c r="B12" s="4">
        <v>0.14169999999999999</v>
      </c>
    </row>
    <row r="13" spans="1:11" x14ac:dyDescent="0.2">
      <c r="A13" t="s">
        <v>18</v>
      </c>
      <c r="B13" s="4">
        <v>9.5000000000000001E-2</v>
      </c>
    </row>
    <row r="16" spans="1:11" x14ac:dyDescent="0.2">
      <c r="B16" t="s">
        <v>0</v>
      </c>
      <c r="C16" t="s">
        <v>1</v>
      </c>
      <c r="D16" t="s">
        <v>2</v>
      </c>
      <c r="E16" t="s">
        <v>108</v>
      </c>
      <c r="F16" t="s">
        <v>109</v>
      </c>
      <c r="G16" t="s">
        <v>58</v>
      </c>
      <c r="H16" t="s">
        <v>59</v>
      </c>
      <c r="I16" t="s">
        <v>60</v>
      </c>
      <c r="J16" t="s">
        <v>55</v>
      </c>
      <c r="K16" t="s">
        <v>110</v>
      </c>
    </row>
    <row r="17" spans="2:11" x14ac:dyDescent="0.2">
      <c r="B17" t="s">
        <v>54</v>
      </c>
      <c r="C17">
        <v>36</v>
      </c>
      <c r="D17" t="s">
        <v>50</v>
      </c>
      <c r="E17">
        <v>0.152</v>
      </c>
      <c r="F17">
        <v>7.17E-2</v>
      </c>
      <c r="G17">
        <v>3.9E-2</v>
      </c>
      <c r="H17">
        <v>3.5299999999999998E-2</v>
      </c>
      <c r="I17">
        <v>2.46E-2</v>
      </c>
      <c r="J17">
        <v>-6.4000000000000003E-3</v>
      </c>
      <c r="K17">
        <v>1.4208000000000001</v>
      </c>
    </row>
    <row r="18" spans="2:11" x14ac:dyDescent="0.2">
      <c r="B18" t="s">
        <v>54</v>
      </c>
      <c r="C18">
        <v>36</v>
      </c>
      <c r="D18" t="s">
        <v>51</v>
      </c>
      <c r="E18">
        <v>0.26779999999999998</v>
      </c>
      <c r="F18">
        <v>0.1067</v>
      </c>
      <c r="G18">
        <v>4.9200000000000001E-2</v>
      </c>
      <c r="H18">
        <v>4.4499999999999998E-2</v>
      </c>
      <c r="I18">
        <v>3.1E-2</v>
      </c>
      <c r="J18">
        <v>0.02</v>
      </c>
      <c r="K18">
        <v>1.3916999999999999</v>
      </c>
    </row>
    <row r="19" spans="2:11" x14ac:dyDescent="0.2">
      <c r="B19" t="s">
        <v>54</v>
      </c>
      <c r="C19">
        <v>36</v>
      </c>
      <c r="D19" t="s">
        <v>19</v>
      </c>
      <c r="E19">
        <v>0.36309999999999998</v>
      </c>
      <c r="F19">
        <v>0.1394</v>
      </c>
      <c r="G19">
        <v>5.8200000000000002E-2</v>
      </c>
      <c r="H19">
        <v>5.2699999999999997E-2</v>
      </c>
      <c r="I19">
        <v>3.61E-2</v>
      </c>
      <c r="J19">
        <v>4.5999999999999999E-2</v>
      </c>
      <c r="K19">
        <v>1.3601000000000001</v>
      </c>
    </row>
    <row r="20" spans="2:11" x14ac:dyDescent="0.2">
      <c r="B20" t="s">
        <v>54</v>
      </c>
      <c r="C20">
        <v>36</v>
      </c>
      <c r="D20" t="s">
        <v>52</v>
      </c>
      <c r="E20">
        <v>0.12909999999999999</v>
      </c>
      <c r="F20">
        <v>0.17249999999999999</v>
      </c>
      <c r="G20">
        <v>6.5500000000000003E-2</v>
      </c>
      <c r="H20">
        <v>5.9299999999999999E-2</v>
      </c>
      <c r="I20">
        <v>4.0099999999999997E-2</v>
      </c>
      <c r="J20">
        <v>7.2599999999999998E-2</v>
      </c>
      <c r="K20">
        <v>1.3474999999999999</v>
      </c>
    </row>
    <row r="21" spans="2:11" x14ac:dyDescent="0.2">
      <c r="B21" t="s">
        <v>54</v>
      </c>
      <c r="C21">
        <v>36</v>
      </c>
      <c r="D21" t="s">
        <v>53</v>
      </c>
      <c r="E21">
        <v>5.7200000000000001E-2</v>
      </c>
      <c r="F21">
        <v>0.20039999999999999</v>
      </c>
      <c r="G21">
        <v>6.6400000000000001E-2</v>
      </c>
      <c r="H21">
        <v>6.0100000000000001E-2</v>
      </c>
      <c r="I21">
        <v>4.0099999999999997E-2</v>
      </c>
      <c r="J21">
        <v>9.9199999999999997E-2</v>
      </c>
      <c r="K21">
        <v>1.3282</v>
      </c>
    </row>
    <row r="22" spans="2:11" x14ac:dyDescent="0.2">
      <c r="B22" t="s">
        <v>54</v>
      </c>
      <c r="C22">
        <v>36</v>
      </c>
      <c r="D22" t="s">
        <v>103</v>
      </c>
      <c r="E22">
        <v>3.0800000000000001E-2</v>
      </c>
      <c r="F22">
        <v>0.24160000000000001</v>
      </c>
      <c r="G22">
        <v>0.20860000000000001</v>
      </c>
      <c r="H22">
        <v>0.1888</v>
      </c>
      <c r="I22">
        <v>0.1502</v>
      </c>
      <c r="J22">
        <v>1.2800000000000001E-2</v>
      </c>
      <c r="K22">
        <v>1.1902999999999999</v>
      </c>
    </row>
    <row r="23" spans="2:11" x14ac:dyDescent="0.2">
      <c r="B23" t="s">
        <v>54</v>
      </c>
      <c r="C23">
        <v>60</v>
      </c>
      <c r="D23" t="s">
        <v>50</v>
      </c>
      <c r="E23">
        <v>0.152</v>
      </c>
      <c r="F23">
        <v>9.1700000000000004E-2</v>
      </c>
      <c r="G23">
        <v>7.1599999999999997E-2</v>
      </c>
      <c r="H23">
        <v>6.4799999999999996E-2</v>
      </c>
      <c r="I23">
        <v>2.93E-2</v>
      </c>
      <c r="J23">
        <v>2.1999999999999999E-2</v>
      </c>
      <c r="K23">
        <v>2.1254</v>
      </c>
    </row>
    <row r="24" spans="2:11" x14ac:dyDescent="0.2">
      <c r="B24" t="s">
        <v>54</v>
      </c>
      <c r="C24">
        <v>60</v>
      </c>
      <c r="D24" t="s">
        <v>51</v>
      </c>
      <c r="E24">
        <v>0.26779999999999998</v>
      </c>
      <c r="F24">
        <v>0.12670000000000001</v>
      </c>
      <c r="G24">
        <v>8.4000000000000005E-2</v>
      </c>
      <c r="H24">
        <v>7.5999999999999998E-2</v>
      </c>
      <c r="I24">
        <v>3.4000000000000002E-2</v>
      </c>
      <c r="J24">
        <v>4.9599999999999998E-2</v>
      </c>
      <c r="K24">
        <v>2.0726</v>
      </c>
    </row>
    <row r="25" spans="2:11" x14ac:dyDescent="0.2">
      <c r="B25" t="s">
        <v>54</v>
      </c>
      <c r="C25">
        <v>60</v>
      </c>
      <c r="D25" t="s">
        <v>19</v>
      </c>
      <c r="E25">
        <v>0.36309999999999998</v>
      </c>
      <c r="F25">
        <v>0.15939999999999999</v>
      </c>
      <c r="G25">
        <v>0.1022</v>
      </c>
      <c r="H25">
        <v>9.2499999999999999E-2</v>
      </c>
      <c r="I25">
        <v>4.0300000000000002E-2</v>
      </c>
      <c r="J25">
        <v>7.5899999999999995E-2</v>
      </c>
      <c r="K25">
        <v>1.9830000000000001</v>
      </c>
    </row>
    <row r="26" spans="2:11" x14ac:dyDescent="0.2">
      <c r="B26" t="s">
        <v>54</v>
      </c>
      <c r="C26">
        <v>60</v>
      </c>
      <c r="D26" t="s">
        <v>52</v>
      </c>
      <c r="E26">
        <v>0.12909999999999999</v>
      </c>
      <c r="F26">
        <v>0.1925</v>
      </c>
      <c r="G26">
        <v>0.10349999999999999</v>
      </c>
      <c r="H26">
        <v>9.3700000000000006E-2</v>
      </c>
      <c r="I26">
        <v>4.0099999999999997E-2</v>
      </c>
      <c r="J26">
        <v>0.1081</v>
      </c>
      <c r="K26">
        <v>1.9161999999999999</v>
      </c>
    </row>
    <row r="27" spans="2:11" x14ac:dyDescent="0.2">
      <c r="B27" t="s">
        <v>54</v>
      </c>
      <c r="C27">
        <v>60</v>
      </c>
      <c r="D27" t="s">
        <v>53</v>
      </c>
      <c r="E27">
        <v>5.7200000000000001E-2</v>
      </c>
      <c r="F27">
        <v>0.25819999999999999</v>
      </c>
      <c r="G27">
        <v>0.36780000000000002</v>
      </c>
      <c r="H27">
        <v>0.33289999999999997</v>
      </c>
      <c r="I27">
        <v>0.1794</v>
      </c>
      <c r="J27">
        <v>1.2699999999999999E-2</v>
      </c>
      <c r="K27">
        <v>1.5943000000000001</v>
      </c>
    </row>
    <row r="28" spans="2:11" x14ac:dyDescent="0.2">
      <c r="B28" t="s">
        <v>54</v>
      </c>
      <c r="C28">
        <v>60</v>
      </c>
      <c r="D28" t="s">
        <v>103</v>
      </c>
      <c r="E28">
        <v>3.0800000000000001E-2</v>
      </c>
      <c r="F28">
        <v>0.2616</v>
      </c>
      <c r="G28">
        <v>0.18210000000000001</v>
      </c>
      <c r="H28">
        <v>0.1648</v>
      </c>
      <c r="I28">
        <v>7.0499999999999993E-2</v>
      </c>
      <c r="J28">
        <v>0.14349999999999999</v>
      </c>
      <c r="K28">
        <v>1.7761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577"/>
  <sheetViews>
    <sheetView zoomScale="110" workbookViewId="0">
      <selection activeCell="L37" sqref="L37"/>
    </sheetView>
  </sheetViews>
  <sheetFormatPr baseColWidth="10" defaultRowHeight="16" x14ac:dyDescent="0.2"/>
  <sheetData>
    <row r="1" spans="1:12" x14ac:dyDescent="0.2">
      <c r="A1" t="s">
        <v>1</v>
      </c>
      <c r="B1" t="s">
        <v>2</v>
      </c>
      <c r="C1" t="s">
        <v>112</v>
      </c>
      <c r="D1" t="s">
        <v>7</v>
      </c>
      <c r="E1" t="s">
        <v>9</v>
      </c>
      <c r="F1" t="s">
        <v>8</v>
      </c>
      <c r="G1" t="s">
        <v>43</v>
      </c>
      <c r="H1" t="s">
        <v>47</v>
      </c>
      <c r="I1" t="s">
        <v>44</v>
      </c>
      <c r="J1" t="s">
        <v>45</v>
      </c>
      <c r="K1" t="s">
        <v>48</v>
      </c>
      <c r="L1" t="s">
        <v>49</v>
      </c>
    </row>
    <row r="2" spans="1:12" x14ac:dyDescent="0.2">
      <c r="A2">
        <v>36</v>
      </c>
      <c r="B2" t="s">
        <v>50</v>
      </c>
      <c r="C2">
        <v>7.17E-2</v>
      </c>
      <c r="D2">
        <v>1</v>
      </c>
      <c r="E2">
        <v>5.0000000000000001E-3</v>
      </c>
      <c r="F2">
        <v>0</v>
      </c>
      <c r="G2">
        <v>4.8999999999999998E-3</v>
      </c>
      <c r="H2">
        <v>0</v>
      </c>
      <c r="I2">
        <v>5.0000000000000001E-3</v>
      </c>
      <c r="J2">
        <v>5.8400000000000001E-2</v>
      </c>
      <c r="K2">
        <v>0</v>
      </c>
      <c r="L2">
        <v>0</v>
      </c>
    </row>
    <row r="3" spans="1:12" x14ac:dyDescent="0.2">
      <c r="A3">
        <v>36</v>
      </c>
      <c r="B3" t="s">
        <v>50</v>
      </c>
      <c r="C3">
        <v>7.17E-2</v>
      </c>
      <c r="D3">
        <v>2</v>
      </c>
      <c r="E3">
        <v>8.9999999999999993E-3</v>
      </c>
      <c r="F3">
        <v>0</v>
      </c>
      <c r="G3">
        <v>8.5000000000000006E-3</v>
      </c>
      <c r="H3">
        <v>0</v>
      </c>
      <c r="I3">
        <v>8.9999999999999993E-3</v>
      </c>
      <c r="J3">
        <v>0.1033</v>
      </c>
      <c r="K3">
        <v>0</v>
      </c>
      <c r="L3">
        <v>0</v>
      </c>
    </row>
    <row r="4" spans="1:12" x14ac:dyDescent="0.2">
      <c r="A4">
        <v>36</v>
      </c>
      <c r="B4" t="s">
        <v>50</v>
      </c>
      <c r="C4">
        <v>7.17E-2</v>
      </c>
      <c r="D4">
        <v>3</v>
      </c>
      <c r="E4">
        <v>4.0000000000000001E-3</v>
      </c>
      <c r="F4">
        <v>1.8E-3</v>
      </c>
      <c r="G4">
        <v>3.7000000000000002E-3</v>
      </c>
      <c r="H4">
        <v>1.8E-3</v>
      </c>
      <c r="I4">
        <v>4.1000000000000003E-3</v>
      </c>
      <c r="J4">
        <v>4.7600000000000003E-2</v>
      </c>
      <c r="K4">
        <v>1.9E-3</v>
      </c>
      <c r="L4">
        <v>2.2800000000000001E-2</v>
      </c>
    </row>
    <row r="5" spans="1:12" x14ac:dyDescent="0.2">
      <c r="A5">
        <v>36</v>
      </c>
      <c r="B5" t="s">
        <v>50</v>
      </c>
      <c r="C5">
        <v>7.17E-2</v>
      </c>
      <c r="D5">
        <v>4</v>
      </c>
      <c r="E5">
        <v>7.0000000000000001E-3</v>
      </c>
      <c r="F5">
        <v>2.8E-3</v>
      </c>
      <c r="G5">
        <v>6.3E-3</v>
      </c>
      <c r="H5">
        <v>2.8E-3</v>
      </c>
      <c r="I5">
        <v>7.1000000000000004E-3</v>
      </c>
      <c r="J5">
        <v>8.2400000000000001E-2</v>
      </c>
      <c r="K5">
        <v>3.0999999999999999E-3</v>
      </c>
      <c r="L5">
        <v>3.6400000000000002E-2</v>
      </c>
    </row>
    <row r="6" spans="1:12" x14ac:dyDescent="0.2">
      <c r="A6">
        <v>36</v>
      </c>
      <c r="B6" t="s">
        <v>50</v>
      </c>
      <c r="C6">
        <v>7.17E-2</v>
      </c>
      <c r="D6">
        <v>5</v>
      </c>
      <c r="E6">
        <v>4.0000000000000001E-3</v>
      </c>
      <c r="F6">
        <v>3.0000000000000001E-3</v>
      </c>
      <c r="G6">
        <v>3.5000000000000001E-3</v>
      </c>
      <c r="H6">
        <v>3.0000000000000001E-3</v>
      </c>
      <c r="I6">
        <v>4.1000000000000003E-3</v>
      </c>
      <c r="J6">
        <v>4.8300000000000003E-2</v>
      </c>
      <c r="K6">
        <v>3.3999999999999998E-3</v>
      </c>
      <c r="L6">
        <v>4.0500000000000001E-2</v>
      </c>
    </row>
    <row r="7" spans="1:12" x14ac:dyDescent="0.2">
      <c r="A7">
        <v>36</v>
      </c>
      <c r="B7" t="s">
        <v>50</v>
      </c>
      <c r="C7">
        <v>7.17E-2</v>
      </c>
      <c r="D7">
        <v>6</v>
      </c>
      <c r="E7">
        <v>0.01</v>
      </c>
      <c r="F7">
        <v>3.0000000000000001E-3</v>
      </c>
      <c r="G7">
        <v>8.5000000000000006E-3</v>
      </c>
      <c r="H7">
        <v>2.8999999999999998E-3</v>
      </c>
      <c r="I7">
        <v>1.04E-2</v>
      </c>
      <c r="J7">
        <v>0.1176</v>
      </c>
      <c r="K7">
        <v>3.5000000000000001E-3</v>
      </c>
      <c r="L7">
        <v>4.0899999999999999E-2</v>
      </c>
    </row>
    <row r="8" spans="1:12" x14ac:dyDescent="0.2">
      <c r="A8">
        <v>36</v>
      </c>
      <c r="B8" t="s">
        <v>50</v>
      </c>
      <c r="C8">
        <v>7.17E-2</v>
      </c>
      <c r="D8">
        <v>7</v>
      </c>
      <c r="E8">
        <v>4.0000000000000001E-3</v>
      </c>
      <c r="F8">
        <v>2.8E-3</v>
      </c>
      <c r="G8">
        <v>3.3E-3</v>
      </c>
      <c r="H8">
        <v>2.7000000000000001E-3</v>
      </c>
      <c r="I8">
        <v>4.1999999999999997E-3</v>
      </c>
      <c r="J8">
        <v>4.9299999999999997E-2</v>
      </c>
      <c r="K8">
        <v>3.3E-3</v>
      </c>
      <c r="L8">
        <v>3.8899999999999997E-2</v>
      </c>
    </row>
    <row r="9" spans="1:12" x14ac:dyDescent="0.2">
      <c r="A9">
        <v>36</v>
      </c>
      <c r="B9" t="s">
        <v>50</v>
      </c>
      <c r="C9">
        <v>7.17E-2</v>
      </c>
      <c r="D9">
        <v>8</v>
      </c>
      <c r="E9">
        <v>8.0000000000000002E-3</v>
      </c>
      <c r="F9">
        <v>2.7000000000000001E-3</v>
      </c>
      <c r="G9">
        <v>6.4000000000000003E-3</v>
      </c>
      <c r="H9">
        <v>2.5000000000000001E-3</v>
      </c>
      <c r="I9">
        <v>8.5000000000000006E-3</v>
      </c>
      <c r="J9">
        <v>9.7000000000000003E-2</v>
      </c>
      <c r="K9">
        <v>3.2000000000000002E-3</v>
      </c>
      <c r="L9">
        <v>3.7900000000000003E-2</v>
      </c>
    </row>
    <row r="10" spans="1:12" x14ac:dyDescent="0.2">
      <c r="A10">
        <v>36</v>
      </c>
      <c r="B10" t="s">
        <v>50</v>
      </c>
      <c r="C10">
        <v>7.17E-2</v>
      </c>
      <c r="D10">
        <v>9</v>
      </c>
      <c r="E10">
        <v>8.9999999999999993E-3</v>
      </c>
      <c r="F10">
        <v>2.5000000000000001E-3</v>
      </c>
      <c r="G10">
        <v>6.8999999999999999E-3</v>
      </c>
      <c r="H10">
        <v>2.2000000000000001E-3</v>
      </c>
      <c r="I10">
        <v>9.5999999999999992E-3</v>
      </c>
      <c r="J10">
        <v>0.10970000000000001</v>
      </c>
      <c r="K10">
        <v>3.0000000000000001E-3</v>
      </c>
      <c r="L10">
        <v>3.5700000000000003E-2</v>
      </c>
    </row>
    <row r="11" spans="1:12" x14ac:dyDescent="0.2">
      <c r="A11">
        <v>36</v>
      </c>
      <c r="B11" t="s">
        <v>50</v>
      </c>
      <c r="C11">
        <v>7.17E-2</v>
      </c>
      <c r="D11">
        <v>10</v>
      </c>
      <c r="E11">
        <v>6.0000000000000001E-3</v>
      </c>
      <c r="F11">
        <v>2.3999999999999998E-3</v>
      </c>
      <c r="G11">
        <v>4.4999999999999997E-3</v>
      </c>
      <c r="H11">
        <v>2.0999999999999999E-3</v>
      </c>
      <c r="I11">
        <v>6.4999999999999997E-3</v>
      </c>
      <c r="J11">
        <v>7.5300000000000006E-2</v>
      </c>
      <c r="K11">
        <v>3.0000000000000001E-3</v>
      </c>
      <c r="L11">
        <v>3.49E-2</v>
      </c>
    </row>
    <row r="12" spans="1:12" x14ac:dyDescent="0.2">
      <c r="A12">
        <v>36</v>
      </c>
      <c r="B12" t="s">
        <v>50</v>
      </c>
      <c r="C12">
        <v>7.17E-2</v>
      </c>
      <c r="D12">
        <v>11</v>
      </c>
      <c r="E12">
        <v>6.0000000000000001E-3</v>
      </c>
      <c r="F12">
        <v>2.2000000000000001E-3</v>
      </c>
      <c r="G12">
        <v>4.3E-3</v>
      </c>
      <c r="H12">
        <v>1.9E-3</v>
      </c>
      <c r="I12">
        <v>6.6E-3</v>
      </c>
      <c r="J12">
        <v>7.5999999999999998E-2</v>
      </c>
      <c r="K12">
        <v>2.7000000000000001E-3</v>
      </c>
      <c r="L12">
        <v>3.2500000000000001E-2</v>
      </c>
    </row>
    <row r="13" spans="1:12" x14ac:dyDescent="0.2">
      <c r="A13">
        <v>36</v>
      </c>
      <c r="B13" t="s">
        <v>50</v>
      </c>
      <c r="C13">
        <v>7.17E-2</v>
      </c>
      <c r="D13">
        <v>12</v>
      </c>
      <c r="E13">
        <v>7.0000000000000001E-3</v>
      </c>
      <c r="F13">
        <v>2.0999999999999999E-3</v>
      </c>
      <c r="G13">
        <v>4.7999999999999996E-3</v>
      </c>
      <c r="H13">
        <v>1.6999999999999999E-3</v>
      </c>
      <c r="I13">
        <v>7.7000000000000002E-3</v>
      </c>
      <c r="J13">
        <v>8.8900000000000007E-2</v>
      </c>
      <c r="K13">
        <v>2.7000000000000001E-3</v>
      </c>
      <c r="L13">
        <v>3.1399999999999997E-2</v>
      </c>
    </row>
    <row r="14" spans="1:12" x14ac:dyDescent="0.2">
      <c r="A14">
        <v>36</v>
      </c>
      <c r="B14" t="s">
        <v>50</v>
      </c>
      <c r="C14">
        <v>7.17E-2</v>
      </c>
      <c r="D14">
        <v>13</v>
      </c>
      <c r="E14">
        <v>5.0000000000000001E-3</v>
      </c>
      <c r="F14">
        <v>2E-3</v>
      </c>
      <c r="G14">
        <v>3.3E-3</v>
      </c>
      <c r="H14">
        <v>1.6000000000000001E-3</v>
      </c>
      <c r="I14">
        <v>5.5999999999999999E-3</v>
      </c>
      <c r="J14">
        <v>6.4899999999999999E-2</v>
      </c>
      <c r="K14">
        <v>2.5999999999999999E-3</v>
      </c>
      <c r="L14">
        <v>3.04E-2</v>
      </c>
    </row>
    <row r="15" spans="1:12" x14ac:dyDescent="0.2">
      <c r="A15">
        <v>36</v>
      </c>
      <c r="B15" t="s">
        <v>50</v>
      </c>
      <c r="C15">
        <v>7.17E-2</v>
      </c>
      <c r="D15">
        <v>14</v>
      </c>
      <c r="E15">
        <v>4.0000000000000001E-3</v>
      </c>
      <c r="F15">
        <v>1.9E-3</v>
      </c>
      <c r="G15">
        <v>2.5000000000000001E-3</v>
      </c>
      <c r="H15">
        <v>1.5E-3</v>
      </c>
      <c r="I15">
        <v>4.4999999999999997E-3</v>
      </c>
      <c r="J15">
        <v>5.2699999999999997E-2</v>
      </c>
      <c r="K15">
        <v>2.5000000000000001E-3</v>
      </c>
      <c r="L15">
        <v>2.93E-2</v>
      </c>
    </row>
    <row r="16" spans="1:12" x14ac:dyDescent="0.2">
      <c r="A16">
        <v>36</v>
      </c>
      <c r="B16" t="s">
        <v>50</v>
      </c>
      <c r="C16">
        <v>7.17E-2</v>
      </c>
      <c r="D16">
        <v>15</v>
      </c>
      <c r="E16">
        <v>8.9999999999999993E-3</v>
      </c>
      <c r="F16">
        <v>1.8E-3</v>
      </c>
      <c r="G16">
        <v>5.4999999999999997E-3</v>
      </c>
      <c r="H16">
        <v>1.2999999999999999E-3</v>
      </c>
      <c r="I16">
        <v>1.0200000000000001E-2</v>
      </c>
      <c r="J16">
        <v>0.11559999999999999</v>
      </c>
      <c r="K16">
        <v>2.3999999999999998E-3</v>
      </c>
      <c r="L16">
        <v>2.8199999999999999E-2</v>
      </c>
    </row>
    <row r="17" spans="1:12" x14ac:dyDescent="0.2">
      <c r="A17">
        <v>36</v>
      </c>
      <c r="B17" t="s">
        <v>50</v>
      </c>
      <c r="C17">
        <v>7.17E-2</v>
      </c>
      <c r="D17">
        <v>16</v>
      </c>
      <c r="E17">
        <v>4.0000000000000001E-3</v>
      </c>
      <c r="F17">
        <v>1.6999999999999999E-3</v>
      </c>
      <c r="G17">
        <v>2.3E-3</v>
      </c>
      <c r="H17">
        <v>1.1999999999999999E-3</v>
      </c>
      <c r="I17">
        <v>4.5999999999999999E-3</v>
      </c>
      <c r="J17">
        <v>5.3600000000000002E-2</v>
      </c>
      <c r="K17">
        <v>2.3E-3</v>
      </c>
      <c r="L17">
        <v>2.7199999999999998E-2</v>
      </c>
    </row>
    <row r="18" spans="1:12" x14ac:dyDescent="0.2">
      <c r="A18">
        <v>36</v>
      </c>
      <c r="B18" t="s">
        <v>50</v>
      </c>
      <c r="C18">
        <v>7.17E-2</v>
      </c>
      <c r="D18">
        <v>17</v>
      </c>
      <c r="E18">
        <v>8.0000000000000002E-3</v>
      </c>
      <c r="F18">
        <v>1.6000000000000001E-3</v>
      </c>
      <c r="G18">
        <v>4.4000000000000003E-3</v>
      </c>
      <c r="H18">
        <v>1.1000000000000001E-3</v>
      </c>
      <c r="I18">
        <v>9.1999999999999998E-3</v>
      </c>
      <c r="J18">
        <v>0.1053</v>
      </c>
      <c r="K18">
        <v>2.2000000000000001E-3</v>
      </c>
      <c r="L18">
        <v>2.5999999999999999E-2</v>
      </c>
    </row>
    <row r="19" spans="1:12" x14ac:dyDescent="0.2">
      <c r="A19">
        <v>36</v>
      </c>
      <c r="B19" t="s">
        <v>50</v>
      </c>
      <c r="C19">
        <v>7.17E-2</v>
      </c>
      <c r="D19">
        <v>18</v>
      </c>
      <c r="E19">
        <v>7.0000000000000001E-3</v>
      </c>
      <c r="F19">
        <v>1.5E-3</v>
      </c>
      <c r="G19">
        <v>3.7000000000000002E-3</v>
      </c>
      <c r="H19">
        <v>1E-3</v>
      </c>
      <c r="I19">
        <v>8.2000000000000007E-3</v>
      </c>
      <c r="J19">
        <v>9.3700000000000006E-2</v>
      </c>
      <c r="K19">
        <v>2.0999999999999999E-3</v>
      </c>
      <c r="L19">
        <v>2.4799999999999999E-2</v>
      </c>
    </row>
    <row r="20" spans="1:12" x14ac:dyDescent="0.2">
      <c r="A20">
        <v>36</v>
      </c>
      <c r="B20" t="s">
        <v>50</v>
      </c>
      <c r="C20">
        <v>7.17E-2</v>
      </c>
      <c r="D20">
        <v>19</v>
      </c>
      <c r="E20">
        <v>5.0000000000000001E-3</v>
      </c>
      <c r="F20">
        <v>1.4E-3</v>
      </c>
      <c r="G20">
        <v>2.5000000000000001E-3</v>
      </c>
      <c r="H20">
        <v>8.9999999999999998E-4</v>
      </c>
      <c r="I20">
        <v>5.8999999999999999E-3</v>
      </c>
      <c r="J20">
        <v>6.8400000000000002E-2</v>
      </c>
      <c r="K20">
        <v>2E-3</v>
      </c>
      <c r="L20">
        <v>2.3599999999999999E-2</v>
      </c>
    </row>
    <row r="21" spans="1:12" x14ac:dyDescent="0.2">
      <c r="A21">
        <v>36</v>
      </c>
      <c r="B21" t="s">
        <v>50</v>
      </c>
      <c r="C21">
        <v>7.17E-2</v>
      </c>
      <c r="D21">
        <v>20</v>
      </c>
      <c r="E21">
        <v>6.0000000000000001E-3</v>
      </c>
      <c r="F21">
        <v>1.4E-3</v>
      </c>
      <c r="G21">
        <v>2.8E-3</v>
      </c>
      <c r="H21">
        <v>8.9999999999999998E-4</v>
      </c>
      <c r="I21">
        <v>7.1000000000000004E-3</v>
      </c>
      <c r="J21">
        <v>8.2199999999999995E-2</v>
      </c>
      <c r="K21">
        <v>2E-3</v>
      </c>
      <c r="L21">
        <v>2.41E-2</v>
      </c>
    </row>
    <row r="22" spans="1:12" x14ac:dyDescent="0.2">
      <c r="A22">
        <v>36</v>
      </c>
      <c r="B22" t="s">
        <v>50</v>
      </c>
      <c r="C22">
        <v>7.17E-2</v>
      </c>
      <c r="D22">
        <v>21</v>
      </c>
      <c r="E22">
        <v>0.01</v>
      </c>
      <c r="F22">
        <v>1.2999999999999999E-3</v>
      </c>
      <c r="G22">
        <v>4.4000000000000003E-3</v>
      </c>
      <c r="H22">
        <v>8.0000000000000004E-4</v>
      </c>
      <c r="I22">
        <v>1.2E-2</v>
      </c>
      <c r="J22">
        <v>0.1346</v>
      </c>
      <c r="K22">
        <v>1.9E-3</v>
      </c>
      <c r="L22">
        <v>2.2800000000000001E-2</v>
      </c>
    </row>
    <row r="23" spans="1:12" x14ac:dyDescent="0.2">
      <c r="A23">
        <v>36</v>
      </c>
      <c r="B23" t="s">
        <v>50</v>
      </c>
      <c r="C23">
        <v>7.17E-2</v>
      </c>
      <c r="D23">
        <v>22</v>
      </c>
      <c r="E23">
        <v>0.01</v>
      </c>
      <c r="F23">
        <v>1.1999999999999999E-3</v>
      </c>
      <c r="G23">
        <v>4.1000000000000003E-3</v>
      </c>
      <c r="H23">
        <v>6.9999999999999999E-4</v>
      </c>
      <c r="I23">
        <v>1.21E-2</v>
      </c>
      <c r="J23">
        <v>0.1363</v>
      </c>
      <c r="K23">
        <v>1.8E-3</v>
      </c>
      <c r="L23">
        <v>2.1700000000000001E-2</v>
      </c>
    </row>
    <row r="24" spans="1:12" x14ac:dyDescent="0.2">
      <c r="A24">
        <v>36</v>
      </c>
      <c r="B24" t="s">
        <v>50</v>
      </c>
      <c r="C24">
        <v>7.17E-2</v>
      </c>
      <c r="D24">
        <v>23</v>
      </c>
      <c r="E24">
        <v>5.0000000000000001E-3</v>
      </c>
      <c r="F24">
        <v>1.1999999999999999E-3</v>
      </c>
      <c r="G24">
        <v>1.9E-3</v>
      </c>
      <c r="H24">
        <v>5.9999999999999995E-4</v>
      </c>
      <c r="I24">
        <v>6.1999999999999998E-3</v>
      </c>
      <c r="J24">
        <v>7.1400000000000005E-2</v>
      </c>
      <c r="K24">
        <v>1.9E-3</v>
      </c>
      <c r="L24">
        <v>2.23E-2</v>
      </c>
    </row>
    <row r="25" spans="1:12" x14ac:dyDescent="0.2">
      <c r="A25">
        <v>36</v>
      </c>
      <c r="B25" t="s">
        <v>50</v>
      </c>
      <c r="C25">
        <v>7.17E-2</v>
      </c>
      <c r="D25">
        <v>24</v>
      </c>
      <c r="E25">
        <v>8.9999999999999993E-3</v>
      </c>
      <c r="F25">
        <v>1.1000000000000001E-3</v>
      </c>
      <c r="G25">
        <v>3.2000000000000002E-3</v>
      </c>
      <c r="H25">
        <v>5.0000000000000001E-4</v>
      </c>
      <c r="I25">
        <v>1.12E-2</v>
      </c>
      <c r="J25">
        <v>0.126</v>
      </c>
      <c r="K25">
        <v>1.8E-3</v>
      </c>
      <c r="L25">
        <v>2.0899999999999998E-2</v>
      </c>
    </row>
    <row r="26" spans="1:12" x14ac:dyDescent="0.2">
      <c r="A26">
        <v>36</v>
      </c>
      <c r="B26" t="s">
        <v>50</v>
      </c>
      <c r="C26">
        <v>7.17E-2</v>
      </c>
      <c r="D26">
        <v>25</v>
      </c>
      <c r="E26">
        <v>4.0000000000000001E-3</v>
      </c>
      <c r="F26">
        <v>1.1000000000000001E-3</v>
      </c>
      <c r="G26">
        <v>1.2999999999999999E-3</v>
      </c>
      <c r="H26">
        <v>5.0000000000000001E-4</v>
      </c>
      <c r="I26">
        <v>5.0000000000000001E-3</v>
      </c>
      <c r="J26">
        <v>5.8599999999999999E-2</v>
      </c>
      <c r="K26">
        <v>1.8E-3</v>
      </c>
      <c r="L26">
        <v>2.1600000000000001E-2</v>
      </c>
    </row>
    <row r="27" spans="1:12" x14ac:dyDescent="0.2">
      <c r="A27">
        <v>36</v>
      </c>
      <c r="B27" t="s">
        <v>50</v>
      </c>
      <c r="C27">
        <v>7.17E-2</v>
      </c>
      <c r="D27">
        <v>26</v>
      </c>
      <c r="E27">
        <v>7.0000000000000001E-3</v>
      </c>
      <c r="F27">
        <v>1E-3</v>
      </c>
      <c r="G27">
        <v>2.0999999999999999E-3</v>
      </c>
      <c r="H27">
        <v>4.0000000000000002E-4</v>
      </c>
      <c r="I27">
        <v>8.8000000000000005E-3</v>
      </c>
      <c r="J27">
        <v>0.1011</v>
      </c>
      <c r="K27">
        <v>1.6999999999999999E-3</v>
      </c>
      <c r="L27">
        <v>2.0199999999999999E-2</v>
      </c>
    </row>
    <row r="28" spans="1:12" x14ac:dyDescent="0.2">
      <c r="A28">
        <v>36</v>
      </c>
      <c r="B28" t="s">
        <v>50</v>
      </c>
      <c r="C28">
        <v>7.17E-2</v>
      </c>
      <c r="D28">
        <v>27</v>
      </c>
      <c r="E28">
        <v>4.0000000000000001E-3</v>
      </c>
      <c r="F28">
        <v>1E-3</v>
      </c>
      <c r="G28">
        <v>1.1000000000000001E-3</v>
      </c>
      <c r="H28">
        <v>4.0000000000000002E-4</v>
      </c>
      <c r="I28">
        <v>5.1000000000000004E-3</v>
      </c>
      <c r="J28">
        <v>5.96E-2</v>
      </c>
      <c r="K28">
        <v>1.8E-3</v>
      </c>
      <c r="L28">
        <v>2.1000000000000001E-2</v>
      </c>
    </row>
    <row r="29" spans="1:12" x14ac:dyDescent="0.2">
      <c r="A29">
        <v>36</v>
      </c>
      <c r="B29" t="s">
        <v>50</v>
      </c>
      <c r="C29">
        <v>7.17E-2</v>
      </c>
      <c r="D29">
        <v>28</v>
      </c>
      <c r="E29">
        <v>0.01</v>
      </c>
      <c r="F29">
        <v>8.9999999999999998E-4</v>
      </c>
      <c r="G29">
        <v>2.3999999999999998E-3</v>
      </c>
      <c r="H29">
        <v>2.9999999999999997E-4</v>
      </c>
      <c r="I29">
        <v>1.2800000000000001E-2</v>
      </c>
      <c r="J29">
        <v>0.14369999999999999</v>
      </c>
      <c r="K29">
        <v>1.6999999999999999E-3</v>
      </c>
      <c r="L29">
        <v>1.9599999999999999E-2</v>
      </c>
    </row>
    <row r="30" spans="1:12" x14ac:dyDescent="0.2">
      <c r="A30">
        <v>36</v>
      </c>
      <c r="B30" t="s">
        <v>50</v>
      </c>
      <c r="C30">
        <v>7.17E-2</v>
      </c>
      <c r="D30">
        <v>29</v>
      </c>
      <c r="E30">
        <v>0.01</v>
      </c>
      <c r="F30">
        <v>8.9999999999999998E-4</v>
      </c>
      <c r="G30">
        <v>2.0999999999999999E-3</v>
      </c>
      <c r="H30">
        <v>2.9999999999999997E-4</v>
      </c>
      <c r="I30">
        <v>1.2999999999999999E-2</v>
      </c>
      <c r="J30">
        <v>0.14560000000000001</v>
      </c>
      <c r="K30">
        <v>1.6999999999999999E-3</v>
      </c>
      <c r="L30">
        <v>2.07E-2</v>
      </c>
    </row>
    <row r="31" spans="1:12" x14ac:dyDescent="0.2">
      <c r="A31">
        <v>36</v>
      </c>
      <c r="B31" t="s">
        <v>50</v>
      </c>
      <c r="C31">
        <v>7.17E-2</v>
      </c>
      <c r="D31">
        <v>30</v>
      </c>
      <c r="E31">
        <v>5.0000000000000001E-3</v>
      </c>
      <c r="F31">
        <v>8.9999999999999998E-4</v>
      </c>
      <c r="G31">
        <v>8.9999999999999998E-4</v>
      </c>
      <c r="H31">
        <v>2.9999999999999997E-4</v>
      </c>
      <c r="I31">
        <v>6.6E-3</v>
      </c>
      <c r="J31">
        <v>7.6399999999999996E-2</v>
      </c>
      <c r="K31">
        <v>1.8E-3</v>
      </c>
      <c r="L31">
        <v>2.1899999999999999E-2</v>
      </c>
    </row>
    <row r="32" spans="1:12" x14ac:dyDescent="0.2">
      <c r="A32">
        <v>36</v>
      </c>
      <c r="B32" t="s">
        <v>50</v>
      </c>
      <c r="C32">
        <v>7.17E-2</v>
      </c>
      <c r="D32">
        <v>31</v>
      </c>
      <c r="E32">
        <v>8.9999999999999993E-3</v>
      </c>
      <c r="F32">
        <v>8.0000000000000004E-4</v>
      </c>
      <c r="G32">
        <v>1.4E-3</v>
      </c>
      <c r="H32">
        <v>2.0000000000000001E-4</v>
      </c>
      <c r="I32">
        <v>1.2E-2</v>
      </c>
      <c r="J32">
        <v>0.1346</v>
      </c>
      <c r="K32">
        <v>1.8E-3</v>
      </c>
      <c r="L32">
        <v>2.0899999999999998E-2</v>
      </c>
    </row>
    <row r="33" spans="1:12" x14ac:dyDescent="0.2">
      <c r="A33">
        <v>36</v>
      </c>
      <c r="B33" t="s">
        <v>50</v>
      </c>
      <c r="C33">
        <v>7.17E-2</v>
      </c>
      <c r="D33">
        <v>32</v>
      </c>
      <c r="E33">
        <v>4.0000000000000001E-3</v>
      </c>
      <c r="F33">
        <v>8.0000000000000004E-4</v>
      </c>
      <c r="G33">
        <v>5.0000000000000001E-4</v>
      </c>
      <c r="H33">
        <v>2.0000000000000001E-4</v>
      </c>
      <c r="I33">
        <v>5.4000000000000003E-3</v>
      </c>
      <c r="J33">
        <v>6.2799999999999995E-2</v>
      </c>
      <c r="K33">
        <v>1.9E-3</v>
      </c>
      <c r="L33">
        <v>2.2800000000000001E-2</v>
      </c>
    </row>
    <row r="34" spans="1:12" x14ac:dyDescent="0.2">
      <c r="A34">
        <v>36</v>
      </c>
      <c r="B34" t="s">
        <v>50</v>
      </c>
      <c r="C34">
        <v>7.17E-2</v>
      </c>
      <c r="D34">
        <v>33</v>
      </c>
      <c r="E34">
        <v>7.0000000000000001E-3</v>
      </c>
      <c r="F34">
        <v>8.0000000000000004E-4</v>
      </c>
      <c r="G34">
        <v>5.9999999999999995E-4</v>
      </c>
      <c r="H34">
        <v>2.0000000000000001E-4</v>
      </c>
      <c r="I34">
        <v>9.4999999999999998E-3</v>
      </c>
      <c r="J34">
        <v>0.1081</v>
      </c>
      <c r="K34">
        <v>2.0999999999999999E-3</v>
      </c>
      <c r="L34">
        <v>2.5399999999999999E-2</v>
      </c>
    </row>
    <row r="35" spans="1:12" x14ac:dyDescent="0.2">
      <c r="A35">
        <v>36</v>
      </c>
      <c r="B35" t="s">
        <v>50</v>
      </c>
      <c r="C35">
        <v>7.17E-2</v>
      </c>
      <c r="D35">
        <v>34</v>
      </c>
      <c r="E35">
        <v>4.0000000000000001E-3</v>
      </c>
      <c r="F35">
        <v>6.9999999999999999E-4</v>
      </c>
      <c r="G35">
        <v>2.0000000000000001E-4</v>
      </c>
      <c r="H35">
        <v>1E-4</v>
      </c>
      <c r="I35">
        <v>5.4999999999999997E-3</v>
      </c>
      <c r="J35">
        <v>6.3799999999999996E-2</v>
      </c>
      <c r="K35">
        <v>2.2000000000000001E-3</v>
      </c>
      <c r="L35">
        <v>2.6200000000000001E-2</v>
      </c>
    </row>
    <row r="36" spans="1:12" x14ac:dyDescent="0.2">
      <c r="A36">
        <v>36</v>
      </c>
      <c r="B36" t="s">
        <v>50</v>
      </c>
      <c r="C36">
        <v>7.17E-2</v>
      </c>
      <c r="D36">
        <v>35</v>
      </c>
      <c r="E36">
        <v>0.01</v>
      </c>
      <c r="F36">
        <v>6.9999999999999999E-4</v>
      </c>
      <c r="G36">
        <v>2.9999999999999997E-4</v>
      </c>
      <c r="H36">
        <v>1E-4</v>
      </c>
      <c r="I36">
        <v>1.37E-2</v>
      </c>
      <c r="J36">
        <v>0.153</v>
      </c>
      <c r="K36">
        <v>2.8999999999999998E-3</v>
      </c>
      <c r="L36">
        <v>3.3799999999999997E-2</v>
      </c>
    </row>
    <row r="37" spans="1:12" x14ac:dyDescent="0.2">
      <c r="A37">
        <v>36</v>
      </c>
      <c r="B37" t="s">
        <v>50</v>
      </c>
      <c r="C37">
        <v>7.17E-2</v>
      </c>
      <c r="D37">
        <v>36</v>
      </c>
      <c r="E37">
        <v>4.0000000000000001E-3</v>
      </c>
      <c r="F37">
        <v>6.9999999999999999E-4</v>
      </c>
      <c r="G37">
        <v>0</v>
      </c>
      <c r="H37">
        <v>1E-4</v>
      </c>
      <c r="I37">
        <v>0</v>
      </c>
      <c r="J37">
        <v>0</v>
      </c>
      <c r="K37">
        <v>4.7999999999999996E-3</v>
      </c>
      <c r="L37">
        <v>5.6500000000000002E-2</v>
      </c>
    </row>
    <row r="38" spans="1:12" x14ac:dyDescent="0.2">
      <c r="A38">
        <v>36</v>
      </c>
      <c r="B38" t="s">
        <v>51</v>
      </c>
      <c r="C38">
        <v>0.1067</v>
      </c>
      <c r="D38">
        <v>1</v>
      </c>
      <c r="E38">
        <v>0.01</v>
      </c>
      <c r="F38">
        <v>0</v>
      </c>
      <c r="G38">
        <v>9.7999999999999997E-3</v>
      </c>
      <c r="H38">
        <v>0</v>
      </c>
      <c r="I38">
        <v>0.01</v>
      </c>
      <c r="J38">
        <v>0.11360000000000001</v>
      </c>
      <c r="K38">
        <v>0</v>
      </c>
      <c r="L38">
        <v>0</v>
      </c>
    </row>
    <row r="39" spans="1:12" x14ac:dyDescent="0.2">
      <c r="A39">
        <v>36</v>
      </c>
      <c r="B39" t="s">
        <v>51</v>
      </c>
      <c r="C39">
        <v>0.1067</v>
      </c>
      <c r="D39">
        <v>2</v>
      </c>
      <c r="E39">
        <v>8.0000000000000002E-3</v>
      </c>
      <c r="F39">
        <v>0</v>
      </c>
      <c r="G39">
        <v>7.6E-3</v>
      </c>
      <c r="H39">
        <v>0</v>
      </c>
      <c r="I39">
        <v>8.0999999999999996E-3</v>
      </c>
      <c r="J39">
        <v>9.2700000000000005E-2</v>
      </c>
      <c r="K39">
        <v>0</v>
      </c>
      <c r="L39">
        <v>0</v>
      </c>
    </row>
    <row r="40" spans="1:12" x14ac:dyDescent="0.2">
      <c r="A40">
        <v>36</v>
      </c>
      <c r="B40" t="s">
        <v>51</v>
      </c>
      <c r="C40">
        <v>0.1067</v>
      </c>
      <c r="D40">
        <v>3</v>
      </c>
      <c r="E40">
        <v>8.0000000000000002E-3</v>
      </c>
      <c r="F40">
        <v>5.7999999999999996E-3</v>
      </c>
      <c r="G40">
        <v>7.4000000000000003E-3</v>
      </c>
      <c r="H40">
        <v>5.7999999999999996E-3</v>
      </c>
      <c r="I40">
        <v>8.0999999999999996E-3</v>
      </c>
      <c r="J40">
        <v>9.3399999999999997E-2</v>
      </c>
      <c r="K40">
        <v>6.1999999999999998E-3</v>
      </c>
      <c r="L40">
        <v>7.1900000000000006E-2</v>
      </c>
    </row>
    <row r="41" spans="1:12" x14ac:dyDescent="0.2">
      <c r="A41">
        <v>36</v>
      </c>
      <c r="B41" t="s">
        <v>51</v>
      </c>
      <c r="C41">
        <v>0.1067</v>
      </c>
      <c r="D41">
        <v>4</v>
      </c>
      <c r="E41">
        <v>0.01</v>
      </c>
      <c r="F41">
        <v>5.4999999999999997E-3</v>
      </c>
      <c r="G41">
        <v>8.9999999999999993E-3</v>
      </c>
      <c r="H41">
        <v>5.4999999999999997E-3</v>
      </c>
      <c r="I41">
        <v>1.03E-2</v>
      </c>
      <c r="J41">
        <v>0.11700000000000001</v>
      </c>
      <c r="K41">
        <v>6.1000000000000004E-3</v>
      </c>
      <c r="L41">
        <v>7.0900000000000005E-2</v>
      </c>
    </row>
    <row r="42" spans="1:12" x14ac:dyDescent="0.2">
      <c r="A42">
        <v>36</v>
      </c>
      <c r="B42" t="s">
        <v>51</v>
      </c>
      <c r="C42">
        <v>0.1067</v>
      </c>
      <c r="D42">
        <v>5</v>
      </c>
      <c r="E42">
        <v>4.0000000000000001E-3</v>
      </c>
      <c r="F42">
        <v>4.7999999999999996E-3</v>
      </c>
      <c r="G42">
        <v>3.5000000000000001E-3</v>
      </c>
      <c r="H42">
        <v>4.7999999999999996E-3</v>
      </c>
      <c r="I42">
        <v>4.1999999999999997E-3</v>
      </c>
      <c r="J42">
        <v>4.9200000000000001E-2</v>
      </c>
      <c r="K42">
        <v>5.5999999999999999E-3</v>
      </c>
      <c r="L42">
        <v>6.4799999999999996E-2</v>
      </c>
    </row>
    <row r="43" spans="1:12" x14ac:dyDescent="0.2">
      <c r="A43">
        <v>36</v>
      </c>
      <c r="B43" t="s">
        <v>51</v>
      </c>
      <c r="C43">
        <v>0.1067</v>
      </c>
      <c r="D43">
        <v>6</v>
      </c>
      <c r="E43">
        <v>5.0000000000000001E-3</v>
      </c>
      <c r="F43">
        <v>4.1999999999999997E-3</v>
      </c>
      <c r="G43">
        <v>4.3E-3</v>
      </c>
      <c r="H43">
        <v>4.1000000000000003E-3</v>
      </c>
      <c r="I43">
        <v>5.3E-3</v>
      </c>
      <c r="J43">
        <v>6.1699999999999998E-2</v>
      </c>
      <c r="K43">
        <v>4.8999999999999998E-3</v>
      </c>
      <c r="L43">
        <v>5.7599999999999998E-2</v>
      </c>
    </row>
    <row r="44" spans="1:12" x14ac:dyDescent="0.2">
      <c r="A44">
        <v>36</v>
      </c>
      <c r="B44" t="s">
        <v>51</v>
      </c>
      <c r="C44">
        <v>0.1067</v>
      </c>
      <c r="D44">
        <v>7</v>
      </c>
      <c r="E44">
        <v>7.0000000000000001E-3</v>
      </c>
      <c r="F44">
        <v>3.5999999999999999E-3</v>
      </c>
      <c r="G44">
        <v>5.7999999999999996E-3</v>
      </c>
      <c r="H44">
        <v>3.3999999999999998E-3</v>
      </c>
      <c r="I44">
        <v>7.4999999999999997E-3</v>
      </c>
      <c r="J44">
        <v>8.6199999999999999E-2</v>
      </c>
      <c r="K44">
        <v>4.3E-3</v>
      </c>
      <c r="L44">
        <v>5.0299999999999997E-2</v>
      </c>
    </row>
    <row r="45" spans="1:12" x14ac:dyDescent="0.2">
      <c r="A45">
        <v>36</v>
      </c>
      <c r="B45" t="s">
        <v>51</v>
      </c>
      <c r="C45">
        <v>0.1067</v>
      </c>
      <c r="D45">
        <v>8</v>
      </c>
      <c r="E45">
        <v>5.0000000000000001E-3</v>
      </c>
      <c r="F45">
        <v>3.2000000000000002E-3</v>
      </c>
      <c r="G45">
        <v>4.0000000000000001E-3</v>
      </c>
      <c r="H45">
        <v>3.0000000000000001E-3</v>
      </c>
      <c r="I45">
        <v>5.4000000000000003E-3</v>
      </c>
      <c r="J45">
        <v>6.3E-2</v>
      </c>
      <c r="K45">
        <v>3.8999999999999998E-3</v>
      </c>
      <c r="L45">
        <v>4.5499999999999999E-2</v>
      </c>
    </row>
    <row r="46" spans="1:12" x14ac:dyDescent="0.2">
      <c r="A46">
        <v>36</v>
      </c>
      <c r="B46" t="s">
        <v>51</v>
      </c>
      <c r="C46">
        <v>0.1067</v>
      </c>
      <c r="D46">
        <v>9</v>
      </c>
      <c r="E46">
        <v>8.0000000000000002E-3</v>
      </c>
      <c r="F46">
        <v>2.8999999999999998E-3</v>
      </c>
      <c r="G46">
        <v>6.1999999999999998E-3</v>
      </c>
      <c r="H46">
        <v>2.5999999999999999E-3</v>
      </c>
      <c r="I46">
        <v>8.6999999999999994E-3</v>
      </c>
      <c r="J46">
        <v>9.98E-2</v>
      </c>
      <c r="K46">
        <v>3.5999999999999999E-3</v>
      </c>
      <c r="L46">
        <v>4.1799999999999997E-2</v>
      </c>
    </row>
    <row r="47" spans="1:12" x14ac:dyDescent="0.2">
      <c r="A47">
        <v>36</v>
      </c>
      <c r="B47" t="s">
        <v>51</v>
      </c>
      <c r="C47">
        <v>0.1067</v>
      </c>
      <c r="D47">
        <v>10</v>
      </c>
      <c r="E47">
        <v>6.0000000000000001E-3</v>
      </c>
      <c r="F47">
        <v>2.5999999999999999E-3</v>
      </c>
      <c r="G47">
        <v>4.4999999999999997E-3</v>
      </c>
      <c r="H47">
        <v>2.3E-3</v>
      </c>
      <c r="I47">
        <v>6.6E-3</v>
      </c>
      <c r="J47">
        <v>7.6700000000000004E-2</v>
      </c>
      <c r="K47">
        <v>3.2000000000000002E-3</v>
      </c>
      <c r="L47">
        <v>3.8199999999999998E-2</v>
      </c>
    </row>
    <row r="48" spans="1:12" x14ac:dyDescent="0.2">
      <c r="A48">
        <v>36</v>
      </c>
      <c r="B48" t="s">
        <v>51</v>
      </c>
      <c r="C48">
        <v>0.1067</v>
      </c>
      <c r="D48">
        <v>11</v>
      </c>
      <c r="E48">
        <v>5.0000000000000001E-3</v>
      </c>
      <c r="F48">
        <v>2.3E-3</v>
      </c>
      <c r="G48">
        <v>3.5999999999999999E-3</v>
      </c>
      <c r="H48">
        <v>2E-3</v>
      </c>
      <c r="I48">
        <v>5.5999999999999999E-3</v>
      </c>
      <c r="J48">
        <v>6.4899999999999999E-2</v>
      </c>
      <c r="K48">
        <v>2.8999999999999998E-3</v>
      </c>
      <c r="L48">
        <v>3.4299999999999997E-2</v>
      </c>
    </row>
    <row r="49" spans="1:12" x14ac:dyDescent="0.2">
      <c r="A49">
        <v>36</v>
      </c>
      <c r="B49" t="s">
        <v>51</v>
      </c>
      <c r="C49">
        <v>0.1067</v>
      </c>
      <c r="D49">
        <v>12</v>
      </c>
      <c r="E49">
        <v>8.0000000000000002E-3</v>
      </c>
      <c r="F49">
        <v>2.0999999999999999E-3</v>
      </c>
      <c r="G49">
        <v>5.5999999999999999E-3</v>
      </c>
      <c r="H49">
        <v>1.6999999999999999E-3</v>
      </c>
      <c r="I49">
        <v>8.9999999999999993E-3</v>
      </c>
      <c r="J49">
        <v>0.1027</v>
      </c>
      <c r="K49">
        <v>2.7000000000000001E-3</v>
      </c>
      <c r="L49">
        <v>3.1800000000000002E-2</v>
      </c>
    </row>
    <row r="50" spans="1:12" x14ac:dyDescent="0.2">
      <c r="A50">
        <v>36</v>
      </c>
      <c r="B50" t="s">
        <v>51</v>
      </c>
      <c r="C50">
        <v>0.1067</v>
      </c>
      <c r="D50">
        <v>13</v>
      </c>
      <c r="E50">
        <v>5.0000000000000001E-3</v>
      </c>
      <c r="F50">
        <v>2E-3</v>
      </c>
      <c r="G50">
        <v>3.3999999999999998E-3</v>
      </c>
      <c r="H50">
        <v>1.6000000000000001E-3</v>
      </c>
      <c r="I50">
        <v>5.7000000000000002E-3</v>
      </c>
      <c r="J50">
        <v>6.6100000000000006E-2</v>
      </c>
      <c r="K50">
        <v>2.5999999999999999E-3</v>
      </c>
      <c r="L50">
        <v>3.0800000000000001E-2</v>
      </c>
    </row>
    <row r="51" spans="1:12" x14ac:dyDescent="0.2">
      <c r="A51">
        <v>36</v>
      </c>
      <c r="B51" t="s">
        <v>51</v>
      </c>
      <c r="C51">
        <v>0.1067</v>
      </c>
      <c r="D51">
        <v>14</v>
      </c>
      <c r="E51">
        <v>7.0000000000000001E-3</v>
      </c>
      <c r="F51">
        <v>1.8E-3</v>
      </c>
      <c r="G51">
        <v>4.4999999999999997E-3</v>
      </c>
      <c r="H51">
        <v>1.4E-3</v>
      </c>
      <c r="I51">
        <v>8.0000000000000002E-3</v>
      </c>
      <c r="J51">
        <v>9.2100000000000001E-2</v>
      </c>
      <c r="K51">
        <v>2.3999999999999998E-3</v>
      </c>
      <c r="L51">
        <v>2.8199999999999999E-2</v>
      </c>
    </row>
    <row r="52" spans="1:12" x14ac:dyDescent="0.2">
      <c r="A52">
        <v>36</v>
      </c>
      <c r="B52" t="s">
        <v>51</v>
      </c>
      <c r="C52">
        <v>0.1067</v>
      </c>
      <c r="D52">
        <v>15</v>
      </c>
      <c r="E52">
        <v>5.0000000000000001E-3</v>
      </c>
      <c r="F52">
        <v>1.6999999999999999E-3</v>
      </c>
      <c r="G52">
        <v>3.0999999999999999E-3</v>
      </c>
      <c r="H52">
        <v>1.2999999999999999E-3</v>
      </c>
      <c r="I52">
        <v>5.7999999999999996E-3</v>
      </c>
      <c r="J52">
        <v>6.7299999999999999E-2</v>
      </c>
      <c r="K52">
        <v>2.3E-3</v>
      </c>
      <c r="L52">
        <v>2.7099999999999999E-2</v>
      </c>
    </row>
    <row r="53" spans="1:12" x14ac:dyDescent="0.2">
      <c r="A53">
        <v>36</v>
      </c>
      <c r="B53" t="s">
        <v>51</v>
      </c>
      <c r="C53">
        <v>0.1067</v>
      </c>
      <c r="D53">
        <v>16</v>
      </c>
      <c r="E53">
        <v>4.0000000000000001E-3</v>
      </c>
      <c r="F53">
        <v>1.6000000000000001E-3</v>
      </c>
      <c r="G53">
        <v>2.3999999999999998E-3</v>
      </c>
      <c r="H53">
        <v>1.1999999999999999E-3</v>
      </c>
      <c r="I53">
        <v>4.7000000000000002E-3</v>
      </c>
      <c r="J53">
        <v>5.4600000000000003E-2</v>
      </c>
      <c r="K53">
        <v>2.2000000000000001E-3</v>
      </c>
      <c r="L53">
        <v>2.5899999999999999E-2</v>
      </c>
    </row>
    <row r="54" spans="1:12" x14ac:dyDescent="0.2">
      <c r="A54">
        <v>36</v>
      </c>
      <c r="B54" t="s">
        <v>51</v>
      </c>
      <c r="C54">
        <v>0.1067</v>
      </c>
      <c r="D54">
        <v>17</v>
      </c>
      <c r="E54">
        <v>8.9999999999999993E-3</v>
      </c>
      <c r="F54">
        <v>1.4E-3</v>
      </c>
      <c r="G54">
        <v>5.1000000000000004E-3</v>
      </c>
      <c r="H54">
        <v>1E-3</v>
      </c>
      <c r="I54">
        <v>1.06E-2</v>
      </c>
      <c r="J54">
        <v>0.1197</v>
      </c>
      <c r="K54">
        <v>1.9E-3</v>
      </c>
      <c r="L54">
        <v>2.3E-2</v>
      </c>
    </row>
    <row r="55" spans="1:12" x14ac:dyDescent="0.2">
      <c r="A55">
        <v>36</v>
      </c>
      <c r="B55" t="s">
        <v>51</v>
      </c>
      <c r="C55">
        <v>0.1067</v>
      </c>
      <c r="D55">
        <v>18</v>
      </c>
      <c r="E55">
        <v>4.0000000000000001E-3</v>
      </c>
      <c r="F55">
        <v>1.2999999999999999E-3</v>
      </c>
      <c r="G55">
        <v>2.2000000000000001E-3</v>
      </c>
      <c r="H55">
        <v>8.9999999999999998E-4</v>
      </c>
      <c r="I55">
        <v>4.7999999999999996E-3</v>
      </c>
      <c r="J55">
        <v>5.5599999999999997E-2</v>
      </c>
      <c r="K55">
        <v>1.8E-3</v>
      </c>
      <c r="L55">
        <v>2.18E-2</v>
      </c>
    </row>
    <row r="56" spans="1:12" x14ac:dyDescent="0.2">
      <c r="A56">
        <v>36</v>
      </c>
      <c r="B56" t="s">
        <v>51</v>
      </c>
      <c r="C56">
        <v>0.1067</v>
      </c>
      <c r="D56">
        <v>19</v>
      </c>
      <c r="E56">
        <v>8.0000000000000002E-3</v>
      </c>
      <c r="F56">
        <v>1.2999999999999999E-3</v>
      </c>
      <c r="G56">
        <v>4.1000000000000003E-3</v>
      </c>
      <c r="H56">
        <v>8.0000000000000004E-4</v>
      </c>
      <c r="I56">
        <v>9.5999999999999992E-3</v>
      </c>
      <c r="J56">
        <v>0.109</v>
      </c>
      <c r="K56">
        <v>1.9E-3</v>
      </c>
      <c r="L56">
        <v>2.2200000000000001E-2</v>
      </c>
    </row>
    <row r="57" spans="1:12" x14ac:dyDescent="0.2">
      <c r="A57">
        <v>36</v>
      </c>
      <c r="B57" t="s">
        <v>51</v>
      </c>
      <c r="C57">
        <v>0.1067</v>
      </c>
      <c r="D57">
        <v>20</v>
      </c>
      <c r="E57">
        <v>7.0000000000000001E-3</v>
      </c>
      <c r="F57">
        <v>1.1999999999999999E-3</v>
      </c>
      <c r="G57">
        <v>3.3999999999999998E-3</v>
      </c>
      <c r="H57">
        <v>6.9999999999999999E-4</v>
      </c>
      <c r="I57">
        <v>8.5000000000000006E-3</v>
      </c>
      <c r="J57">
        <v>9.7000000000000003E-2</v>
      </c>
      <c r="K57">
        <v>1.8E-3</v>
      </c>
      <c r="L57">
        <v>2.1000000000000001E-2</v>
      </c>
    </row>
    <row r="58" spans="1:12" x14ac:dyDescent="0.2">
      <c r="A58">
        <v>36</v>
      </c>
      <c r="B58" t="s">
        <v>51</v>
      </c>
      <c r="C58">
        <v>0.1067</v>
      </c>
      <c r="D58">
        <v>21</v>
      </c>
      <c r="E58">
        <v>5.0000000000000001E-3</v>
      </c>
      <c r="F58">
        <v>1.1000000000000001E-3</v>
      </c>
      <c r="G58">
        <v>2.3E-3</v>
      </c>
      <c r="H58">
        <v>6.9999999999999999E-4</v>
      </c>
      <c r="I58">
        <v>6.1000000000000004E-3</v>
      </c>
      <c r="J58">
        <v>7.0900000000000005E-2</v>
      </c>
      <c r="K58">
        <v>1.6999999999999999E-3</v>
      </c>
      <c r="L58">
        <v>1.9599999999999999E-2</v>
      </c>
    </row>
    <row r="59" spans="1:12" x14ac:dyDescent="0.2">
      <c r="A59">
        <v>36</v>
      </c>
      <c r="B59" t="s">
        <v>51</v>
      </c>
      <c r="C59">
        <v>0.1067</v>
      </c>
      <c r="D59">
        <v>22</v>
      </c>
      <c r="E59">
        <v>6.0000000000000001E-3</v>
      </c>
      <c r="F59">
        <v>1.1000000000000001E-3</v>
      </c>
      <c r="G59">
        <v>2.5999999999999999E-3</v>
      </c>
      <c r="H59">
        <v>5.9999999999999995E-4</v>
      </c>
      <c r="I59">
        <v>7.4000000000000003E-3</v>
      </c>
      <c r="J59">
        <v>8.5099999999999995E-2</v>
      </c>
      <c r="K59">
        <v>1.6999999999999999E-3</v>
      </c>
      <c r="L59">
        <v>0.02</v>
      </c>
    </row>
    <row r="60" spans="1:12" x14ac:dyDescent="0.2">
      <c r="A60">
        <v>36</v>
      </c>
      <c r="B60" t="s">
        <v>51</v>
      </c>
      <c r="C60">
        <v>0.1067</v>
      </c>
      <c r="D60">
        <v>23</v>
      </c>
      <c r="E60">
        <v>0.01</v>
      </c>
      <c r="F60">
        <v>1E-3</v>
      </c>
      <c r="G60">
        <v>4.0000000000000001E-3</v>
      </c>
      <c r="H60">
        <v>5.0000000000000001E-4</v>
      </c>
      <c r="I60">
        <v>1.24E-2</v>
      </c>
      <c r="J60">
        <v>0.13930000000000001</v>
      </c>
      <c r="K60">
        <v>1.6000000000000001E-3</v>
      </c>
      <c r="L60">
        <v>1.8700000000000001E-2</v>
      </c>
    </row>
    <row r="61" spans="1:12" x14ac:dyDescent="0.2">
      <c r="A61">
        <v>36</v>
      </c>
      <c r="B61" t="s">
        <v>51</v>
      </c>
      <c r="C61">
        <v>0.1067</v>
      </c>
      <c r="D61">
        <v>24</v>
      </c>
      <c r="E61">
        <v>0.01</v>
      </c>
      <c r="F61">
        <v>8.9999999999999998E-4</v>
      </c>
      <c r="G61">
        <v>3.7000000000000002E-3</v>
      </c>
      <c r="H61">
        <v>5.0000000000000001E-4</v>
      </c>
      <c r="I61">
        <v>1.26E-2</v>
      </c>
      <c r="J61">
        <v>0.1411</v>
      </c>
      <c r="K61">
        <v>1.5E-3</v>
      </c>
      <c r="L61">
        <v>1.7299999999999999E-2</v>
      </c>
    </row>
    <row r="62" spans="1:12" x14ac:dyDescent="0.2">
      <c r="A62">
        <v>36</v>
      </c>
      <c r="B62" t="s">
        <v>51</v>
      </c>
      <c r="C62">
        <v>0.1067</v>
      </c>
      <c r="D62">
        <v>25</v>
      </c>
      <c r="E62">
        <v>5.0000000000000001E-3</v>
      </c>
      <c r="F62">
        <v>8.9999999999999998E-4</v>
      </c>
      <c r="G62">
        <v>1.6999999999999999E-3</v>
      </c>
      <c r="H62">
        <v>4.0000000000000002E-4</v>
      </c>
      <c r="I62">
        <v>6.4000000000000003E-3</v>
      </c>
      <c r="J62">
        <v>7.3999999999999996E-2</v>
      </c>
      <c r="K62">
        <v>1.5E-3</v>
      </c>
      <c r="L62">
        <v>1.7899999999999999E-2</v>
      </c>
    </row>
    <row r="63" spans="1:12" x14ac:dyDescent="0.2">
      <c r="A63">
        <v>36</v>
      </c>
      <c r="B63" t="s">
        <v>51</v>
      </c>
      <c r="C63">
        <v>0.1067</v>
      </c>
      <c r="D63">
        <v>26</v>
      </c>
      <c r="E63">
        <v>8.9999999999999993E-3</v>
      </c>
      <c r="F63">
        <v>8.0000000000000004E-4</v>
      </c>
      <c r="G63">
        <v>2.8E-3</v>
      </c>
      <c r="H63">
        <v>4.0000000000000002E-4</v>
      </c>
      <c r="I63">
        <v>1.1599999999999999E-2</v>
      </c>
      <c r="J63">
        <v>0.13039999999999999</v>
      </c>
      <c r="K63">
        <v>1.4E-3</v>
      </c>
      <c r="L63">
        <v>1.6400000000000001E-2</v>
      </c>
    </row>
    <row r="64" spans="1:12" x14ac:dyDescent="0.2">
      <c r="A64">
        <v>36</v>
      </c>
      <c r="B64" t="s">
        <v>51</v>
      </c>
      <c r="C64">
        <v>0.1067</v>
      </c>
      <c r="D64">
        <v>27</v>
      </c>
      <c r="E64">
        <v>4.0000000000000001E-3</v>
      </c>
      <c r="F64">
        <v>8.0000000000000004E-4</v>
      </c>
      <c r="G64">
        <v>1.1000000000000001E-3</v>
      </c>
      <c r="H64">
        <v>2.9999999999999997E-4</v>
      </c>
      <c r="I64">
        <v>5.1999999999999998E-3</v>
      </c>
      <c r="J64">
        <v>6.08E-2</v>
      </c>
      <c r="K64">
        <v>1.4E-3</v>
      </c>
      <c r="L64">
        <v>1.7100000000000001E-2</v>
      </c>
    </row>
    <row r="65" spans="1:12" x14ac:dyDescent="0.2">
      <c r="A65">
        <v>36</v>
      </c>
      <c r="B65" t="s">
        <v>51</v>
      </c>
      <c r="C65">
        <v>0.1067</v>
      </c>
      <c r="D65">
        <v>28</v>
      </c>
      <c r="E65">
        <v>7.0000000000000001E-3</v>
      </c>
      <c r="F65">
        <v>8.0000000000000004E-4</v>
      </c>
      <c r="G65">
        <v>1.8E-3</v>
      </c>
      <c r="H65">
        <v>2.9999999999999997E-4</v>
      </c>
      <c r="I65">
        <v>9.1999999999999998E-3</v>
      </c>
      <c r="J65">
        <v>0.1047</v>
      </c>
      <c r="K65">
        <v>1.5E-3</v>
      </c>
      <c r="L65">
        <v>1.77E-2</v>
      </c>
    </row>
    <row r="66" spans="1:12" x14ac:dyDescent="0.2">
      <c r="A66">
        <v>36</v>
      </c>
      <c r="B66" t="s">
        <v>51</v>
      </c>
      <c r="C66">
        <v>0.1067</v>
      </c>
      <c r="D66">
        <v>29</v>
      </c>
      <c r="E66">
        <v>4.0000000000000001E-3</v>
      </c>
      <c r="F66">
        <v>6.9999999999999999E-4</v>
      </c>
      <c r="G66">
        <v>8.9999999999999998E-4</v>
      </c>
      <c r="H66">
        <v>2.9999999999999997E-4</v>
      </c>
      <c r="I66">
        <v>5.3E-3</v>
      </c>
      <c r="J66">
        <v>6.1699999999999998E-2</v>
      </c>
      <c r="K66">
        <v>1.4E-3</v>
      </c>
      <c r="L66">
        <v>1.6299999999999999E-2</v>
      </c>
    </row>
    <row r="67" spans="1:12" x14ac:dyDescent="0.2">
      <c r="A67">
        <v>36</v>
      </c>
      <c r="B67" t="s">
        <v>51</v>
      </c>
      <c r="C67">
        <v>0.1067</v>
      </c>
      <c r="D67">
        <v>30</v>
      </c>
      <c r="E67">
        <v>0.01</v>
      </c>
      <c r="F67">
        <v>6.9999999999999999E-4</v>
      </c>
      <c r="G67">
        <v>1.9E-3</v>
      </c>
      <c r="H67">
        <v>2.0000000000000001E-4</v>
      </c>
      <c r="I67">
        <v>1.3299999999999999E-2</v>
      </c>
      <c r="J67">
        <v>0.1487</v>
      </c>
      <c r="K67">
        <v>1.4E-3</v>
      </c>
      <c r="L67">
        <v>1.7100000000000001E-2</v>
      </c>
    </row>
    <row r="68" spans="1:12" x14ac:dyDescent="0.2">
      <c r="A68">
        <v>36</v>
      </c>
      <c r="B68" t="s">
        <v>51</v>
      </c>
      <c r="C68">
        <v>0.1067</v>
      </c>
      <c r="D68">
        <v>31</v>
      </c>
      <c r="E68">
        <v>4.0000000000000001E-3</v>
      </c>
      <c r="F68">
        <v>6.9999999999999999E-4</v>
      </c>
      <c r="G68">
        <v>5.9999999999999995E-4</v>
      </c>
      <c r="H68">
        <v>2.0000000000000001E-4</v>
      </c>
      <c r="I68">
        <v>5.4000000000000003E-3</v>
      </c>
      <c r="J68">
        <v>6.3E-2</v>
      </c>
      <c r="K68">
        <v>1.5E-3</v>
      </c>
      <c r="L68">
        <v>1.84E-2</v>
      </c>
    </row>
    <row r="69" spans="1:12" x14ac:dyDescent="0.2">
      <c r="A69">
        <v>36</v>
      </c>
      <c r="B69" t="s">
        <v>51</v>
      </c>
      <c r="C69">
        <v>0.1067</v>
      </c>
      <c r="D69">
        <v>32</v>
      </c>
      <c r="E69">
        <v>8.0000000000000002E-3</v>
      </c>
      <c r="F69">
        <v>5.9999999999999995E-4</v>
      </c>
      <c r="G69">
        <v>1E-3</v>
      </c>
      <c r="H69">
        <v>2.0000000000000001E-4</v>
      </c>
      <c r="I69">
        <v>1.09E-2</v>
      </c>
      <c r="J69">
        <v>0.123</v>
      </c>
      <c r="K69">
        <v>1.4E-3</v>
      </c>
      <c r="L69">
        <v>1.72E-2</v>
      </c>
    </row>
    <row r="70" spans="1:12" x14ac:dyDescent="0.2">
      <c r="A70">
        <v>36</v>
      </c>
      <c r="B70" t="s">
        <v>51</v>
      </c>
      <c r="C70">
        <v>0.1067</v>
      </c>
      <c r="D70">
        <v>33</v>
      </c>
      <c r="E70">
        <v>8.9999999999999993E-3</v>
      </c>
      <c r="F70">
        <v>5.9999999999999995E-4</v>
      </c>
      <c r="G70">
        <v>8.9999999999999998E-4</v>
      </c>
      <c r="H70">
        <v>2.0000000000000001E-4</v>
      </c>
      <c r="I70">
        <v>1.24E-2</v>
      </c>
      <c r="J70">
        <v>0.13880000000000001</v>
      </c>
      <c r="K70">
        <v>1.6000000000000001E-3</v>
      </c>
      <c r="L70">
        <v>1.9300000000000001E-2</v>
      </c>
    </row>
    <row r="71" spans="1:12" x14ac:dyDescent="0.2">
      <c r="A71">
        <v>36</v>
      </c>
      <c r="B71" t="s">
        <v>51</v>
      </c>
      <c r="C71">
        <v>0.1067</v>
      </c>
      <c r="D71">
        <v>34</v>
      </c>
      <c r="E71">
        <v>6.0000000000000001E-3</v>
      </c>
      <c r="F71">
        <v>5.9999999999999995E-4</v>
      </c>
      <c r="G71">
        <v>4.0000000000000002E-4</v>
      </c>
      <c r="H71">
        <v>1E-4</v>
      </c>
      <c r="I71">
        <v>8.3999999999999995E-3</v>
      </c>
      <c r="J71">
        <v>9.5699999999999993E-2</v>
      </c>
      <c r="K71">
        <v>1.9E-3</v>
      </c>
      <c r="L71">
        <v>2.2800000000000001E-2</v>
      </c>
    </row>
    <row r="72" spans="1:12" x14ac:dyDescent="0.2">
      <c r="A72">
        <v>36</v>
      </c>
      <c r="B72" t="s">
        <v>51</v>
      </c>
      <c r="C72">
        <v>0.1067</v>
      </c>
      <c r="D72">
        <v>35</v>
      </c>
      <c r="E72">
        <v>6.0000000000000001E-3</v>
      </c>
      <c r="F72">
        <v>5.9999999999999995E-4</v>
      </c>
      <c r="G72">
        <v>2.0000000000000001E-4</v>
      </c>
      <c r="H72">
        <v>1E-4</v>
      </c>
      <c r="I72">
        <v>8.3999999999999995E-3</v>
      </c>
      <c r="J72">
        <v>9.64E-2</v>
      </c>
      <c r="K72">
        <v>2.5000000000000001E-3</v>
      </c>
      <c r="L72">
        <v>2.9399999999999999E-2</v>
      </c>
    </row>
    <row r="73" spans="1:12" x14ac:dyDescent="0.2">
      <c r="A73">
        <v>36</v>
      </c>
      <c r="B73" t="s">
        <v>51</v>
      </c>
      <c r="C73">
        <v>0.1067</v>
      </c>
      <c r="D73">
        <v>36</v>
      </c>
      <c r="E73">
        <v>7.0000000000000001E-3</v>
      </c>
      <c r="F73">
        <v>5.0000000000000001E-4</v>
      </c>
      <c r="G73">
        <v>0</v>
      </c>
      <c r="H73">
        <v>1E-4</v>
      </c>
      <c r="I73">
        <v>0</v>
      </c>
      <c r="J73">
        <v>0</v>
      </c>
      <c r="K73">
        <v>3.5000000000000001E-3</v>
      </c>
      <c r="L73">
        <v>4.1000000000000002E-2</v>
      </c>
    </row>
    <row r="74" spans="1:12" x14ac:dyDescent="0.2">
      <c r="A74">
        <v>36</v>
      </c>
      <c r="B74" t="s">
        <v>19</v>
      </c>
      <c r="C74">
        <v>0.1394</v>
      </c>
      <c r="D74">
        <v>1</v>
      </c>
      <c r="E74">
        <v>8.0000000000000002E-3</v>
      </c>
      <c r="F74">
        <v>0</v>
      </c>
      <c r="G74">
        <v>7.7999999999999996E-3</v>
      </c>
      <c r="H74">
        <v>0</v>
      </c>
      <c r="I74">
        <v>8.0000000000000002E-3</v>
      </c>
      <c r="J74">
        <v>9.1899999999999996E-2</v>
      </c>
      <c r="K74">
        <v>0</v>
      </c>
      <c r="L74">
        <v>0</v>
      </c>
    </row>
    <row r="75" spans="1:12" x14ac:dyDescent="0.2">
      <c r="A75">
        <v>36</v>
      </c>
      <c r="B75" t="s">
        <v>19</v>
      </c>
      <c r="C75">
        <v>0.1394</v>
      </c>
      <c r="D75">
        <v>2</v>
      </c>
      <c r="E75">
        <v>0.01</v>
      </c>
      <c r="F75">
        <v>0</v>
      </c>
      <c r="G75">
        <v>9.4999999999999998E-3</v>
      </c>
      <c r="H75">
        <v>0</v>
      </c>
      <c r="I75">
        <v>1.01E-2</v>
      </c>
      <c r="J75">
        <v>0.1145</v>
      </c>
      <c r="K75">
        <v>0</v>
      </c>
      <c r="L75">
        <v>0</v>
      </c>
    </row>
    <row r="76" spans="1:12" x14ac:dyDescent="0.2">
      <c r="A76">
        <v>36</v>
      </c>
      <c r="B76" t="s">
        <v>19</v>
      </c>
      <c r="C76">
        <v>0.1394</v>
      </c>
      <c r="D76">
        <v>3</v>
      </c>
      <c r="E76">
        <v>8.0000000000000002E-3</v>
      </c>
      <c r="F76">
        <v>0</v>
      </c>
      <c r="G76">
        <v>7.4999999999999997E-3</v>
      </c>
      <c r="H76">
        <v>0</v>
      </c>
      <c r="I76">
        <v>8.0999999999999996E-3</v>
      </c>
      <c r="J76">
        <v>9.35E-2</v>
      </c>
      <c r="K76">
        <v>0</v>
      </c>
      <c r="L76">
        <v>0</v>
      </c>
    </row>
    <row r="77" spans="1:12" x14ac:dyDescent="0.2">
      <c r="A77">
        <v>36</v>
      </c>
      <c r="B77" t="s">
        <v>19</v>
      </c>
      <c r="C77">
        <v>0.1394</v>
      </c>
      <c r="D77">
        <v>4</v>
      </c>
      <c r="E77">
        <v>8.0000000000000002E-3</v>
      </c>
      <c r="F77">
        <v>0</v>
      </c>
      <c r="G77">
        <v>7.3000000000000001E-3</v>
      </c>
      <c r="H77">
        <v>0</v>
      </c>
      <c r="I77">
        <v>8.2000000000000007E-3</v>
      </c>
      <c r="J77">
        <v>9.4200000000000006E-2</v>
      </c>
      <c r="K77">
        <v>0</v>
      </c>
      <c r="L77">
        <v>0</v>
      </c>
    </row>
    <row r="78" spans="1:12" x14ac:dyDescent="0.2">
      <c r="A78">
        <v>36</v>
      </c>
      <c r="B78" t="s">
        <v>19</v>
      </c>
      <c r="C78">
        <v>0.1394</v>
      </c>
      <c r="D78">
        <v>5</v>
      </c>
      <c r="E78">
        <v>0.01</v>
      </c>
      <c r="F78">
        <v>4.0000000000000002E-4</v>
      </c>
      <c r="G78">
        <v>8.8000000000000005E-3</v>
      </c>
      <c r="H78">
        <v>4.0000000000000002E-4</v>
      </c>
      <c r="I78">
        <v>1.03E-2</v>
      </c>
      <c r="J78">
        <v>0.1173</v>
      </c>
      <c r="K78">
        <v>5.0000000000000001E-4</v>
      </c>
      <c r="L78">
        <v>5.4999999999999997E-3</v>
      </c>
    </row>
    <row r="79" spans="1:12" x14ac:dyDescent="0.2">
      <c r="A79">
        <v>36</v>
      </c>
      <c r="B79" t="s">
        <v>19</v>
      </c>
      <c r="C79">
        <v>0.1394</v>
      </c>
      <c r="D79">
        <v>6</v>
      </c>
      <c r="E79">
        <v>4.0000000000000001E-3</v>
      </c>
      <c r="F79">
        <v>2.3E-3</v>
      </c>
      <c r="G79">
        <v>3.3999999999999998E-3</v>
      </c>
      <c r="H79">
        <v>2.2000000000000001E-3</v>
      </c>
      <c r="I79">
        <v>4.1999999999999997E-3</v>
      </c>
      <c r="J79">
        <v>4.9000000000000002E-2</v>
      </c>
      <c r="K79">
        <v>2.7000000000000001E-3</v>
      </c>
      <c r="L79">
        <v>3.1399999999999997E-2</v>
      </c>
    </row>
    <row r="80" spans="1:12" x14ac:dyDescent="0.2">
      <c r="A80">
        <v>36</v>
      </c>
      <c r="B80" t="s">
        <v>19</v>
      </c>
      <c r="C80">
        <v>0.1394</v>
      </c>
      <c r="D80">
        <v>7</v>
      </c>
      <c r="E80">
        <v>5.0000000000000001E-3</v>
      </c>
      <c r="F80">
        <v>4.0000000000000001E-3</v>
      </c>
      <c r="G80">
        <v>4.1999999999999997E-3</v>
      </c>
      <c r="H80">
        <v>3.8E-3</v>
      </c>
      <c r="I80">
        <v>5.3E-3</v>
      </c>
      <c r="J80">
        <v>6.13E-2</v>
      </c>
      <c r="K80">
        <v>4.7000000000000002E-3</v>
      </c>
      <c r="L80">
        <v>5.4600000000000003E-2</v>
      </c>
    </row>
    <row r="81" spans="1:12" x14ac:dyDescent="0.2">
      <c r="A81">
        <v>36</v>
      </c>
      <c r="B81" t="s">
        <v>19</v>
      </c>
      <c r="C81">
        <v>0.1394</v>
      </c>
      <c r="D81">
        <v>8</v>
      </c>
      <c r="E81">
        <v>7.0000000000000001E-3</v>
      </c>
      <c r="F81">
        <v>5.0000000000000001E-3</v>
      </c>
      <c r="G81">
        <v>5.7000000000000002E-3</v>
      </c>
      <c r="H81">
        <v>4.7000000000000002E-3</v>
      </c>
      <c r="I81">
        <v>7.4000000000000003E-3</v>
      </c>
      <c r="J81">
        <v>8.5599999999999996E-2</v>
      </c>
      <c r="K81">
        <v>5.8999999999999999E-3</v>
      </c>
      <c r="L81">
        <v>6.8699999999999997E-2</v>
      </c>
    </row>
    <row r="82" spans="1:12" x14ac:dyDescent="0.2">
      <c r="A82">
        <v>36</v>
      </c>
      <c r="B82" t="s">
        <v>19</v>
      </c>
      <c r="C82">
        <v>0.1394</v>
      </c>
      <c r="D82">
        <v>9</v>
      </c>
      <c r="E82">
        <v>5.0000000000000001E-3</v>
      </c>
      <c r="F82">
        <v>5.4000000000000003E-3</v>
      </c>
      <c r="G82">
        <v>3.8999999999999998E-3</v>
      </c>
      <c r="H82">
        <v>4.8999999999999998E-3</v>
      </c>
      <c r="I82">
        <v>5.4000000000000003E-3</v>
      </c>
      <c r="J82">
        <v>6.2600000000000003E-2</v>
      </c>
      <c r="K82">
        <v>6.4999999999999997E-3</v>
      </c>
      <c r="L82">
        <v>7.5200000000000003E-2</v>
      </c>
    </row>
    <row r="83" spans="1:12" x14ac:dyDescent="0.2">
      <c r="A83">
        <v>36</v>
      </c>
      <c r="B83" t="s">
        <v>19</v>
      </c>
      <c r="C83">
        <v>0.1394</v>
      </c>
      <c r="D83">
        <v>10</v>
      </c>
      <c r="E83">
        <v>8.0000000000000002E-3</v>
      </c>
      <c r="F83">
        <v>5.4999999999999997E-3</v>
      </c>
      <c r="G83">
        <v>6.1000000000000004E-3</v>
      </c>
      <c r="H83">
        <v>4.8999999999999998E-3</v>
      </c>
      <c r="I83">
        <v>8.6999999999999994E-3</v>
      </c>
      <c r="J83">
        <v>9.9500000000000005E-2</v>
      </c>
      <c r="K83">
        <v>6.7000000000000002E-3</v>
      </c>
      <c r="L83">
        <v>7.7700000000000005E-2</v>
      </c>
    </row>
    <row r="84" spans="1:12" x14ac:dyDescent="0.2">
      <c r="A84">
        <v>36</v>
      </c>
      <c r="B84" t="s">
        <v>19</v>
      </c>
      <c r="C84">
        <v>0.1394</v>
      </c>
      <c r="D84">
        <v>11</v>
      </c>
      <c r="E84">
        <v>6.0000000000000001E-3</v>
      </c>
      <c r="F84">
        <v>5.3E-3</v>
      </c>
      <c r="G84">
        <v>4.4000000000000003E-3</v>
      </c>
      <c r="H84">
        <v>4.5999999999999999E-3</v>
      </c>
      <c r="I84">
        <v>6.6E-3</v>
      </c>
      <c r="J84">
        <v>7.6600000000000001E-2</v>
      </c>
      <c r="K84">
        <v>6.6E-3</v>
      </c>
      <c r="L84">
        <v>7.6399999999999996E-2</v>
      </c>
    </row>
    <row r="85" spans="1:12" x14ac:dyDescent="0.2">
      <c r="A85">
        <v>36</v>
      </c>
      <c r="B85" t="s">
        <v>19</v>
      </c>
      <c r="C85">
        <v>0.1394</v>
      </c>
      <c r="D85">
        <v>12</v>
      </c>
      <c r="E85">
        <v>5.0000000000000001E-3</v>
      </c>
      <c r="F85">
        <v>5.0000000000000001E-3</v>
      </c>
      <c r="G85">
        <v>3.5999999999999999E-3</v>
      </c>
      <c r="H85">
        <v>4.1999999999999997E-3</v>
      </c>
      <c r="I85">
        <v>5.5999999999999999E-3</v>
      </c>
      <c r="J85">
        <v>6.5000000000000002E-2</v>
      </c>
      <c r="K85">
        <v>6.3E-3</v>
      </c>
      <c r="L85">
        <v>7.3499999999999996E-2</v>
      </c>
    </row>
    <row r="86" spans="1:12" x14ac:dyDescent="0.2">
      <c r="A86">
        <v>36</v>
      </c>
      <c r="B86" t="s">
        <v>19</v>
      </c>
      <c r="C86">
        <v>0.1394</v>
      </c>
      <c r="D86">
        <v>13</v>
      </c>
      <c r="E86">
        <v>8.0000000000000002E-3</v>
      </c>
      <c r="F86">
        <v>4.5999999999999999E-3</v>
      </c>
      <c r="G86">
        <v>5.4999999999999997E-3</v>
      </c>
      <c r="H86">
        <v>3.7000000000000002E-3</v>
      </c>
      <c r="I86">
        <v>8.9999999999999993E-3</v>
      </c>
      <c r="J86">
        <v>0.1033</v>
      </c>
      <c r="K86">
        <v>5.8999999999999999E-3</v>
      </c>
      <c r="L86">
        <v>6.8900000000000003E-2</v>
      </c>
    </row>
    <row r="87" spans="1:12" x14ac:dyDescent="0.2">
      <c r="A87">
        <v>36</v>
      </c>
      <c r="B87" t="s">
        <v>19</v>
      </c>
      <c r="C87">
        <v>0.1394</v>
      </c>
      <c r="D87">
        <v>14</v>
      </c>
      <c r="E87">
        <v>5.0000000000000001E-3</v>
      </c>
      <c r="F87">
        <v>4.3E-3</v>
      </c>
      <c r="G87">
        <v>3.3E-3</v>
      </c>
      <c r="H87">
        <v>3.3999999999999998E-3</v>
      </c>
      <c r="I87">
        <v>5.7000000000000002E-3</v>
      </c>
      <c r="J87">
        <v>6.6699999999999995E-2</v>
      </c>
      <c r="K87">
        <v>5.7000000000000002E-3</v>
      </c>
      <c r="L87">
        <v>6.59E-2</v>
      </c>
    </row>
    <row r="88" spans="1:12" x14ac:dyDescent="0.2">
      <c r="A88">
        <v>36</v>
      </c>
      <c r="B88" t="s">
        <v>19</v>
      </c>
      <c r="C88">
        <v>0.1394</v>
      </c>
      <c r="D88">
        <v>15</v>
      </c>
      <c r="E88">
        <v>7.0000000000000001E-3</v>
      </c>
      <c r="F88">
        <v>3.8999999999999998E-3</v>
      </c>
      <c r="G88">
        <v>4.4000000000000003E-3</v>
      </c>
      <c r="H88">
        <v>3.0000000000000001E-3</v>
      </c>
      <c r="I88">
        <v>8.0999999999999996E-3</v>
      </c>
      <c r="J88">
        <v>9.3100000000000002E-2</v>
      </c>
      <c r="K88">
        <v>5.1999999999999998E-3</v>
      </c>
      <c r="L88">
        <v>6.0999999999999999E-2</v>
      </c>
    </row>
    <row r="89" spans="1:12" x14ac:dyDescent="0.2">
      <c r="A89">
        <v>36</v>
      </c>
      <c r="B89" t="s">
        <v>19</v>
      </c>
      <c r="C89">
        <v>0.1394</v>
      </c>
      <c r="D89">
        <v>16</v>
      </c>
      <c r="E89">
        <v>5.0000000000000001E-3</v>
      </c>
      <c r="F89">
        <v>3.5000000000000001E-3</v>
      </c>
      <c r="G89">
        <v>3.0000000000000001E-3</v>
      </c>
      <c r="H89">
        <v>2.5999999999999999E-3</v>
      </c>
      <c r="I89">
        <v>5.8999999999999999E-3</v>
      </c>
      <c r="J89">
        <v>6.8199999999999997E-2</v>
      </c>
      <c r="K89">
        <v>4.7999999999999996E-3</v>
      </c>
      <c r="L89">
        <v>5.5899999999999998E-2</v>
      </c>
    </row>
    <row r="90" spans="1:12" x14ac:dyDescent="0.2">
      <c r="A90">
        <v>36</v>
      </c>
      <c r="B90" t="s">
        <v>19</v>
      </c>
      <c r="C90">
        <v>0.1394</v>
      </c>
      <c r="D90">
        <v>17</v>
      </c>
      <c r="E90">
        <v>4.0000000000000001E-3</v>
      </c>
      <c r="F90">
        <v>3.2000000000000002E-3</v>
      </c>
      <c r="G90">
        <v>2.3E-3</v>
      </c>
      <c r="H90">
        <v>2.3E-3</v>
      </c>
      <c r="I90">
        <v>4.7000000000000002E-3</v>
      </c>
      <c r="J90">
        <v>5.5500000000000001E-2</v>
      </c>
      <c r="K90">
        <v>4.4999999999999997E-3</v>
      </c>
      <c r="L90">
        <v>5.2200000000000003E-2</v>
      </c>
    </row>
    <row r="91" spans="1:12" x14ac:dyDescent="0.2">
      <c r="A91">
        <v>36</v>
      </c>
      <c r="B91" t="s">
        <v>19</v>
      </c>
      <c r="C91">
        <v>0.1394</v>
      </c>
      <c r="D91">
        <v>18</v>
      </c>
      <c r="E91">
        <v>8.9999999999999993E-3</v>
      </c>
      <c r="F91">
        <v>2.8999999999999998E-3</v>
      </c>
      <c r="G91">
        <v>5.0000000000000001E-3</v>
      </c>
      <c r="H91">
        <v>2E-3</v>
      </c>
      <c r="I91">
        <v>1.0800000000000001E-2</v>
      </c>
      <c r="J91">
        <v>0.12180000000000001</v>
      </c>
      <c r="K91">
        <v>4.1000000000000003E-3</v>
      </c>
      <c r="L91">
        <v>4.82E-2</v>
      </c>
    </row>
    <row r="92" spans="1:12" x14ac:dyDescent="0.2">
      <c r="A92">
        <v>36</v>
      </c>
      <c r="B92" t="s">
        <v>19</v>
      </c>
      <c r="C92">
        <v>0.1394</v>
      </c>
      <c r="D92">
        <v>19</v>
      </c>
      <c r="E92">
        <v>4.0000000000000001E-3</v>
      </c>
      <c r="F92">
        <v>2.5999999999999999E-3</v>
      </c>
      <c r="G92">
        <v>2.0999999999999999E-3</v>
      </c>
      <c r="H92">
        <v>1.6999999999999999E-3</v>
      </c>
      <c r="I92">
        <v>4.8999999999999998E-3</v>
      </c>
      <c r="J92">
        <v>5.67E-2</v>
      </c>
      <c r="K92">
        <v>3.8E-3</v>
      </c>
      <c r="L92">
        <v>4.4299999999999999E-2</v>
      </c>
    </row>
    <row r="93" spans="1:12" x14ac:dyDescent="0.2">
      <c r="A93">
        <v>36</v>
      </c>
      <c r="B93" t="s">
        <v>19</v>
      </c>
      <c r="C93">
        <v>0.1394</v>
      </c>
      <c r="D93">
        <v>20</v>
      </c>
      <c r="E93">
        <v>8.0000000000000002E-3</v>
      </c>
      <c r="F93">
        <v>2.3999999999999998E-3</v>
      </c>
      <c r="G93">
        <v>4.0000000000000001E-3</v>
      </c>
      <c r="H93">
        <v>1.5E-3</v>
      </c>
      <c r="I93">
        <v>9.7999999999999997E-3</v>
      </c>
      <c r="J93">
        <v>0.1113</v>
      </c>
      <c r="K93">
        <v>3.5000000000000001E-3</v>
      </c>
      <c r="L93">
        <v>4.1799999999999997E-2</v>
      </c>
    </row>
    <row r="94" spans="1:12" x14ac:dyDescent="0.2">
      <c r="A94">
        <v>36</v>
      </c>
      <c r="B94" t="s">
        <v>19</v>
      </c>
      <c r="C94">
        <v>0.1394</v>
      </c>
      <c r="D94">
        <v>21</v>
      </c>
      <c r="E94">
        <v>7.0000000000000001E-3</v>
      </c>
      <c r="F94">
        <v>2.2000000000000001E-3</v>
      </c>
      <c r="G94">
        <v>3.3E-3</v>
      </c>
      <c r="H94">
        <v>1.2999999999999999E-3</v>
      </c>
      <c r="I94">
        <v>8.6999999999999994E-3</v>
      </c>
      <c r="J94">
        <v>9.9299999999999999E-2</v>
      </c>
      <c r="K94">
        <v>3.3E-3</v>
      </c>
      <c r="L94">
        <v>3.9300000000000002E-2</v>
      </c>
    </row>
    <row r="95" spans="1:12" x14ac:dyDescent="0.2">
      <c r="A95">
        <v>36</v>
      </c>
      <c r="B95" t="s">
        <v>19</v>
      </c>
      <c r="C95">
        <v>0.1394</v>
      </c>
      <c r="D95">
        <v>22</v>
      </c>
      <c r="E95">
        <v>5.0000000000000001E-3</v>
      </c>
      <c r="F95">
        <v>2E-3</v>
      </c>
      <c r="G95">
        <v>2.2000000000000001E-3</v>
      </c>
      <c r="H95">
        <v>1.1999999999999999E-3</v>
      </c>
      <c r="I95">
        <v>6.3E-3</v>
      </c>
      <c r="J95">
        <v>7.2700000000000001E-2</v>
      </c>
      <c r="K95">
        <v>3.0999999999999999E-3</v>
      </c>
      <c r="L95">
        <v>3.6600000000000001E-2</v>
      </c>
    </row>
    <row r="96" spans="1:12" x14ac:dyDescent="0.2">
      <c r="A96">
        <v>36</v>
      </c>
      <c r="B96" t="s">
        <v>19</v>
      </c>
      <c r="C96">
        <v>0.1394</v>
      </c>
      <c r="D96">
        <v>23</v>
      </c>
      <c r="E96">
        <v>6.0000000000000001E-3</v>
      </c>
      <c r="F96">
        <v>1.8E-3</v>
      </c>
      <c r="G96">
        <v>2.5000000000000001E-3</v>
      </c>
      <c r="H96">
        <v>1E-3</v>
      </c>
      <c r="I96">
        <v>7.6E-3</v>
      </c>
      <c r="J96">
        <v>8.7400000000000005E-2</v>
      </c>
      <c r="K96">
        <v>2.8999999999999998E-3</v>
      </c>
      <c r="L96">
        <v>3.3799999999999997E-2</v>
      </c>
    </row>
    <row r="97" spans="1:12" x14ac:dyDescent="0.2">
      <c r="A97">
        <v>36</v>
      </c>
      <c r="B97" t="s">
        <v>19</v>
      </c>
      <c r="C97">
        <v>0.1394</v>
      </c>
      <c r="D97">
        <v>24</v>
      </c>
      <c r="E97">
        <v>0.01</v>
      </c>
      <c r="F97">
        <v>1.6000000000000001E-3</v>
      </c>
      <c r="G97">
        <v>3.8E-3</v>
      </c>
      <c r="H97">
        <v>8.0000000000000004E-4</v>
      </c>
      <c r="I97">
        <v>1.2800000000000001E-2</v>
      </c>
      <c r="J97">
        <v>0.14299999999999999</v>
      </c>
      <c r="K97">
        <v>2.5999999999999999E-3</v>
      </c>
      <c r="L97">
        <v>3.09E-2</v>
      </c>
    </row>
    <row r="98" spans="1:12" x14ac:dyDescent="0.2">
      <c r="A98">
        <v>36</v>
      </c>
      <c r="B98" t="s">
        <v>19</v>
      </c>
      <c r="C98">
        <v>0.1394</v>
      </c>
      <c r="D98">
        <v>25</v>
      </c>
      <c r="E98">
        <v>0.01</v>
      </c>
      <c r="F98">
        <v>1.5E-3</v>
      </c>
      <c r="G98">
        <v>3.5000000000000001E-3</v>
      </c>
      <c r="H98">
        <v>6.9999999999999999E-4</v>
      </c>
      <c r="I98">
        <v>1.2999999999999999E-2</v>
      </c>
      <c r="J98">
        <v>0.14499999999999999</v>
      </c>
      <c r="K98">
        <v>2.5000000000000001E-3</v>
      </c>
      <c r="L98">
        <v>0.03</v>
      </c>
    </row>
    <row r="99" spans="1:12" x14ac:dyDescent="0.2">
      <c r="A99">
        <v>36</v>
      </c>
      <c r="B99" t="s">
        <v>19</v>
      </c>
      <c r="C99">
        <v>0.1394</v>
      </c>
      <c r="D99">
        <v>26</v>
      </c>
      <c r="E99">
        <v>5.0000000000000001E-3</v>
      </c>
      <c r="F99">
        <v>1.2999999999999999E-3</v>
      </c>
      <c r="G99">
        <v>1.6000000000000001E-3</v>
      </c>
      <c r="H99">
        <v>5.9999999999999995E-4</v>
      </c>
      <c r="I99">
        <v>6.6E-3</v>
      </c>
      <c r="J99">
        <v>7.6200000000000004E-2</v>
      </c>
      <c r="K99">
        <v>2.3E-3</v>
      </c>
      <c r="L99">
        <v>2.7E-2</v>
      </c>
    </row>
    <row r="100" spans="1:12" x14ac:dyDescent="0.2">
      <c r="A100">
        <v>36</v>
      </c>
      <c r="B100" t="s">
        <v>19</v>
      </c>
      <c r="C100">
        <v>0.1394</v>
      </c>
      <c r="D100">
        <v>27</v>
      </c>
      <c r="E100">
        <v>8.9999999999999993E-3</v>
      </c>
      <c r="F100">
        <v>1.1999999999999999E-3</v>
      </c>
      <c r="G100">
        <v>2.5999999999999999E-3</v>
      </c>
      <c r="H100">
        <v>5.0000000000000001E-4</v>
      </c>
      <c r="I100">
        <v>1.1900000000000001E-2</v>
      </c>
      <c r="J100">
        <v>0.1343</v>
      </c>
      <c r="K100">
        <v>2.2000000000000001E-3</v>
      </c>
      <c r="L100">
        <v>2.5899999999999999E-2</v>
      </c>
    </row>
    <row r="101" spans="1:12" x14ac:dyDescent="0.2">
      <c r="A101">
        <v>36</v>
      </c>
      <c r="B101" t="s">
        <v>19</v>
      </c>
      <c r="C101">
        <v>0.1394</v>
      </c>
      <c r="D101">
        <v>28</v>
      </c>
      <c r="E101">
        <v>4.0000000000000001E-3</v>
      </c>
      <c r="F101">
        <v>1.1000000000000001E-3</v>
      </c>
      <c r="G101">
        <v>1E-3</v>
      </c>
      <c r="H101">
        <v>5.0000000000000001E-4</v>
      </c>
      <c r="I101">
        <v>5.4000000000000003E-3</v>
      </c>
      <c r="J101">
        <v>6.2700000000000006E-2</v>
      </c>
      <c r="K101">
        <v>2.0999999999999999E-3</v>
      </c>
      <c r="L101">
        <v>2.4799999999999999E-2</v>
      </c>
    </row>
    <row r="102" spans="1:12" x14ac:dyDescent="0.2">
      <c r="A102">
        <v>36</v>
      </c>
      <c r="B102" t="s">
        <v>19</v>
      </c>
      <c r="C102">
        <v>0.1394</v>
      </c>
      <c r="D102">
        <v>29</v>
      </c>
      <c r="E102">
        <v>7.0000000000000001E-3</v>
      </c>
      <c r="F102">
        <v>1E-3</v>
      </c>
      <c r="G102">
        <v>1.6000000000000001E-3</v>
      </c>
      <c r="H102">
        <v>4.0000000000000002E-4</v>
      </c>
      <c r="I102">
        <v>9.4999999999999998E-3</v>
      </c>
      <c r="J102">
        <v>0.108</v>
      </c>
      <c r="K102">
        <v>2E-3</v>
      </c>
      <c r="L102">
        <v>2.3599999999999999E-2</v>
      </c>
    </row>
    <row r="103" spans="1:12" x14ac:dyDescent="0.2">
      <c r="A103">
        <v>36</v>
      </c>
      <c r="B103" t="s">
        <v>19</v>
      </c>
      <c r="C103">
        <v>0.1394</v>
      </c>
      <c r="D103">
        <v>30</v>
      </c>
      <c r="E103">
        <v>4.0000000000000001E-3</v>
      </c>
      <c r="F103">
        <v>8.9999999999999998E-4</v>
      </c>
      <c r="G103">
        <v>8.0000000000000004E-4</v>
      </c>
      <c r="H103">
        <v>2.9999999999999997E-4</v>
      </c>
      <c r="I103">
        <v>5.4999999999999997E-3</v>
      </c>
      <c r="J103">
        <v>6.3799999999999996E-2</v>
      </c>
      <c r="K103">
        <v>1.9E-3</v>
      </c>
      <c r="L103">
        <v>2.2499999999999999E-2</v>
      </c>
    </row>
    <row r="104" spans="1:12" x14ac:dyDescent="0.2">
      <c r="A104">
        <v>36</v>
      </c>
      <c r="B104" t="s">
        <v>19</v>
      </c>
      <c r="C104">
        <v>0.1394</v>
      </c>
      <c r="D104">
        <v>31</v>
      </c>
      <c r="E104">
        <v>0.01</v>
      </c>
      <c r="F104">
        <v>8.9999999999999998E-4</v>
      </c>
      <c r="G104">
        <v>1.6000000000000001E-3</v>
      </c>
      <c r="H104">
        <v>2.9999999999999997E-4</v>
      </c>
      <c r="I104">
        <v>1.38E-2</v>
      </c>
      <c r="J104">
        <v>0.15340000000000001</v>
      </c>
      <c r="K104">
        <v>2E-3</v>
      </c>
      <c r="L104">
        <v>2.4E-2</v>
      </c>
    </row>
    <row r="105" spans="1:12" x14ac:dyDescent="0.2">
      <c r="A105">
        <v>36</v>
      </c>
      <c r="B105" t="s">
        <v>19</v>
      </c>
      <c r="C105">
        <v>0.1394</v>
      </c>
      <c r="D105">
        <v>32</v>
      </c>
      <c r="E105">
        <v>4.0000000000000001E-3</v>
      </c>
      <c r="F105">
        <v>8.0000000000000004E-4</v>
      </c>
      <c r="G105">
        <v>5.0000000000000001E-4</v>
      </c>
      <c r="H105">
        <v>2.0000000000000001E-4</v>
      </c>
      <c r="I105">
        <v>5.5999999999999999E-3</v>
      </c>
      <c r="J105">
        <v>6.5100000000000005E-2</v>
      </c>
      <c r="K105">
        <v>2E-3</v>
      </c>
      <c r="L105">
        <v>2.3400000000000001E-2</v>
      </c>
    </row>
    <row r="106" spans="1:12" x14ac:dyDescent="0.2">
      <c r="A106">
        <v>36</v>
      </c>
      <c r="B106" t="s">
        <v>19</v>
      </c>
      <c r="C106">
        <v>0.1394</v>
      </c>
      <c r="D106">
        <v>33</v>
      </c>
      <c r="E106">
        <v>8.0000000000000002E-3</v>
      </c>
      <c r="F106">
        <v>6.9999999999999999E-4</v>
      </c>
      <c r="G106">
        <v>8.0000000000000004E-4</v>
      </c>
      <c r="H106">
        <v>2.0000000000000001E-4</v>
      </c>
      <c r="I106">
        <v>1.1299999999999999E-2</v>
      </c>
      <c r="J106">
        <v>0.127</v>
      </c>
      <c r="K106">
        <v>1.9E-3</v>
      </c>
      <c r="L106">
        <v>2.29E-2</v>
      </c>
    </row>
    <row r="107" spans="1:12" x14ac:dyDescent="0.2">
      <c r="A107">
        <v>36</v>
      </c>
      <c r="B107" t="s">
        <v>19</v>
      </c>
      <c r="C107">
        <v>0.1394</v>
      </c>
      <c r="D107">
        <v>34</v>
      </c>
      <c r="E107">
        <v>8.9999999999999993E-3</v>
      </c>
      <c r="F107">
        <v>6.9999999999999999E-4</v>
      </c>
      <c r="G107">
        <v>5.9999999999999995E-4</v>
      </c>
      <c r="H107">
        <v>2.0000000000000001E-4</v>
      </c>
      <c r="I107">
        <v>1.2800000000000001E-2</v>
      </c>
      <c r="J107">
        <v>0.1434</v>
      </c>
      <c r="K107">
        <v>2.3E-3</v>
      </c>
      <c r="L107">
        <v>2.7E-2</v>
      </c>
    </row>
    <row r="108" spans="1:12" x14ac:dyDescent="0.2">
      <c r="A108">
        <v>36</v>
      </c>
      <c r="B108" t="s">
        <v>19</v>
      </c>
      <c r="C108">
        <v>0.1394</v>
      </c>
      <c r="D108">
        <v>35</v>
      </c>
      <c r="E108">
        <v>6.0000000000000001E-3</v>
      </c>
      <c r="F108">
        <v>5.9999999999999995E-4</v>
      </c>
      <c r="G108">
        <v>2.0000000000000001E-4</v>
      </c>
      <c r="H108">
        <v>1E-4</v>
      </c>
      <c r="I108">
        <v>8.6E-3</v>
      </c>
      <c r="J108">
        <v>9.8900000000000002E-2</v>
      </c>
      <c r="K108">
        <v>2.5000000000000001E-3</v>
      </c>
      <c r="L108">
        <v>3.0099999999999998E-2</v>
      </c>
    </row>
    <row r="109" spans="1:12" x14ac:dyDescent="0.2">
      <c r="A109">
        <v>36</v>
      </c>
      <c r="B109" t="s">
        <v>19</v>
      </c>
      <c r="C109">
        <v>0.1394</v>
      </c>
      <c r="D109">
        <v>36</v>
      </c>
      <c r="E109">
        <v>6.0000000000000001E-3</v>
      </c>
      <c r="F109">
        <v>5.9999999999999995E-4</v>
      </c>
      <c r="G109">
        <v>0</v>
      </c>
      <c r="H109">
        <v>1E-4</v>
      </c>
      <c r="I109">
        <v>0</v>
      </c>
      <c r="J109">
        <v>0</v>
      </c>
      <c r="K109">
        <v>4.3E-3</v>
      </c>
      <c r="L109">
        <v>5.0099999999999999E-2</v>
      </c>
    </row>
    <row r="110" spans="1:12" x14ac:dyDescent="0.2">
      <c r="A110">
        <v>36</v>
      </c>
      <c r="B110" t="s">
        <v>52</v>
      </c>
      <c r="C110">
        <v>0.17249999999999999</v>
      </c>
      <c r="D110">
        <v>1</v>
      </c>
      <c r="E110">
        <v>8.0000000000000002E-3</v>
      </c>
      <c r="F110">
        <v>0</v>
      </c>
      <c r="G110">
        <v>7.7999999999999996E-3</v>
      </c>
      <c r="H110">
        <v>0</v>
      </c>
      <c r="I110">
        <v>8.0000000000000002E-3</v>
      </c>
      <c r="J110">
        <v>9.1899999999999996E-2</v>
      </c>
      <c r="K110">
        <v>0</v>
      </c>
      <c r="L110">
        <v>0</v>
      </c>
    </row>
    <row r="111" spans="1:12" x14ac:dyDescent="0.2">
      <c r="A111">
        <v>36</v>
      </c>
      <c r="B111" t="s">
        <v>52</v>
      </c>
      <c r="C111">
        <v>0.17249999999999999</v>
      </c>
      <c r="D111">
        <v>2</v>
      </c>
      <c r="E111">
        <v>5.0000000000000001E-3</v>
      </c>
      <c r="F111">
        <v>0</v>
      </c>
      <c r="G111">
        <v>4.7999999999999996E-3</v>
      </c>
      <c r="H111">
        <v>0</v>
      </c>
      <c r="I111">
        <v>5.0000000000000001E-3</v>
      </c>
      <c r="J111">
        <v>5.8799999999999998E-2</v>
      </c>
      <c r="K111">
        <v>0</v>
      </c>
      <c r="L111">
        <v>0</v>
      </c>
    </row>
    <row r="112" spans="1:12" x14ac:dyDescent="0.2">
      <c r="A112">
        <v>36</v>
      </c>
      <c r="B112" t="s">
        <v>52</v>
      </c>
      <c r="C112">
        <v>0.17249999999999999</v>
      </c>
      <c r="D112">
        <v>3</v>
      </c>
      <c r="E112">
        <v>7.0000000000000001E-3</v>
      </c>
      <c r="F112">
        <v>0</v>
      </c>
      <c r="G112">
        <v>6.4999999999999997E-3</v>
      </c>
      <c r="H112">
        <v>0</v>
      </c>
      <c r="I112">
        <v>7.1000000000000004E-3</v>
      </c>
      <c r="J112">
        <v>8.1799999999999998E-2</v>
      </c>
      <c r="K112">
        <v>0</v>
      </c>
      <c r="L112">
        <v>0</v>
      </c>
    </row>
    <row r="113" spans="1:12" x14ac:dyDescent="0.2">
      <c r="A113">
        <v>36</v>
      </c>
      <c r="B113" t="s">
        <v>52</v>
      </c>
      <c r="C113">
        <v>0.17249999999999999</v>
      </c>
      <c r="D113">
        <v>4</v>
      </c>
      <c r="E113">
        <v>5.0000000000000001E-3</v>
      </c>
      <c r="F113">
        <v>1E-4</v>
      </c>
      <c r="G113">
        <v>4.5999999999999999E-3</v>
      </c>
      <c r="H113">
        <v>1E-4</v>
      </c>
      <c r="I113">
        <v>5.1000000000000004E-3</v>
      </c>
      <c r="J113">
        <v>5.9499999999999997E-2</v>
      </c>
      <c r="K113">
        <v>1E-4</v>
      </c>
      <c r="L113">
        <v>1.2999999999999999E-3</v>
      </c>
    </row>
    <row r="114" spans="1:12" x14ac:dyDescent="0.2">
      <c r="A114">
        <v>36</v>
      </c>
      <c r="B114" t="s">
        <v>52</v>
      </c>
      <c r="C114">
        <v>0.17249999999999999</v>
      </c>
      <c r="D114">
        <v>5</v>
      </c>
      <c r="E114">
        <v>4.0000000000000001E-3</v>
      </c>
      <c r="F114">
        <v>1.9E-3</v>
      </c>
      <c r="G114">
        <v>3.5999999999999999E-3</v>
      </c>
      <c r="H114">
        <v>1.9E-3</v>
      </c>
      <c r="I114">
        <v>4.1000000000000003E-3</v>
      </c>
      <c r="J114">
        <v>4.8099999999999997E-2</v>
      </c>
      <c r="K114">
        <v>2.0999999999999999E-3</v>
      </c>
      <c r="L114">
        <v>2.53E-2</v>
      </c>
    </row>
    <row r="115" spans="1:12" x14ac:dyDescent="0.2">
      <c r="A115">
        <v>36</v>
      </c>
      <c r="B115" t="s">
        <v>52</v>
      </c>
      <c r="C115">
        <v>0.17249999999999999</v>
      </c>
      <c r="D115">
        <v>6</v>
      </c>
      <c r="E115">
        <v>8.9999999999999993E-3</v>
      </c>
      <c r="F115">
        <v>4.1999999999999997E-3</v>
      </c>
      <c r="G115">
        <v>7.7999999999999996E-3</v>
      </c>
      <c r="H115">
        <v>4.1000000000000003E-3</v>
      </c>
      <c r="I115">
        <v>9.2999999999999992E-3</v>
      </c>
      <c r="J115">
        <v>0.10580000000000001</v>
      </c>
      <c r="K115">
        <v>4.7999999999999996E-3</v>
      </c>
      <c r="L115">
        <v>5.5599999999999997E-2</v>
      </c>
    </row>
    <row r="116" spans="1:12" x14ac:dyDescent="0.2">
      <c r="A116">
        <v>36</v>
      </c>
      <c r="B116" t="s">
        <v>52</v>
      </c>
      <c r="C116">
        <v>0.17249999999999999</v>
      </c>
      <c r="D116">
        <v>7</v>
      </c>
      <c r="E116">
        <v>4.0000000000000001E-3</v>
      </c>
      <c r="F116">
        <v>5.7999999999999996E-3</v>
      </c>
      <c r="G116">
        <v>3.3999999999999998E-3</v>
      </c>
      <c r="H116">
        <v>5.4999999999999997E-3</v>
      </c>
      <c r="I116">
        <v>4.1999999999999997E-3</v>
      </c>
      <c r="J116">
        <v>4.9000000000000002E-2</v>
      </c>
      <c r="K116">
        <v>6.7000000000000002E-3</v>
      </c>
      <c r="L116">
        <v>7.7399999999999997E-2</v>
      </c>
    </row>
    <row r="117" spans="1:12" x14ac:dyDescent="0.2">
      <c r="A117">
        <v>36</v>
      </c>
      <c r="B117" t="s">
        <v>52</v>
      </c>
      <c r="C117">
        <v>0.17249999999999999</v>
      </c>
      <c r="D117">
        <v>8</v>
      </c>
      <c r="E117">
        <v>8.0000000000000002E-3</v>
      </c>
      <c r="F117">
        <v>6.4999999999999997E-3</v>
      </c>
      <c r="G117">
        <v>6.6E-3</v>
      </c>
      <c r="H117">
        <v>6.1000000000000004E-3</v>
      </c>
      <c r="I117">
        <v>8.3999999999999995E-3</v>
      </c>
      <c r="J117">
        <v>9.6699999999999994E-2</v>
      </c>
      <c r="K117">
        <v>7.6E-3</v>
      </c>
      <c r="L117">
        <v>8.7499999999999994E-2</v>
      </c>
    </row>
    <row r="118" spans="1:12" x14ac:dyDescent="0.2">
      <c r="A118">
        <v>36</v>
      </c>
      <c r="B118" t="s">
        <v>52</v>
      </c>
      <c r="C118">
        <v>0.17249999999999999</v>
      </c>
      <c r="D118">
        <v>9</v>
      </c>
      <c r="E118">
        <v>7.0000000000000001E-3</v>
      </c>
      <c r="F118">
        <v>6.6E-3</v>
      </c>
      <c r="G118">
        <v>5.5999999999999999E-3</v>
      </c>
      <c r="H118">
        <v>6.0000000000000001E-3</v>
      </c>
      <c r="I118">
        <v>7.4999999999999997E-3</v>
      </c>
      <c r="J118">
        <v>8.6400000000000005E-2</v>
      </c>
      <c r="K118">
        <v>7.9000000000000008E-3</v>
      </c>
      <c r="L118">
        <v>9.0499999999999997E-2</v>
      </c>
    </row>
    <row r="119" spans="1:12" x14ac:dyDescent="0.2">
      <c r="A119">
        <v>36</v>
      </c>
      <c r="B119" t="s">
        <v>52</v>
      </c>
      <c r="C119">
        <v>0.17249999999999999</v>
      </c>
      <c r="D119">
        <v>10</v>
      </c>
      <c r="E119">
        <v>5.0000000000000001E-3</v>
      </c>
      <c r="F119">
        <v>6.3E-3</v>
      </c>
      <c r="G119">
        <v>3.8999999999999998E-3</v>
      </c>
      <c r="H119">
        <v>5.5999999999999999E-3</v>
      </c>
      <c r="I119">
        <v>5.4000000000000003E-3</v>
      </c>
      <c r="J119">
        <v>6.3299999999999995E-2</v>
      </c>
      <c r="K119">
        <v>7.7000000000000002E-3</v>
      </c>
      <c r="L119">
        <v>8.8099999999999998E-2</v>
      </c>
    </row>
    <row r="120" spans="1:12" x14ac:dyDescent="0.2">
      <c r="A120">
        <v>36</v>
      </c>
      <c r="B120" t="s">
        <v>52</v>
      </c>
      <c r="C120">
        <v>0.17249999999999999</v>
      </c>
      <c r="D120">
        <v>11</v>
      </c>
      <c r="E120">
        <v>6.0000000000000001E-3</v>
      </c>
      <c r="F120">
        <v>5.8999999999999999E-3</v>
      </c>
      <c r="G120">
        <v>4.4999999999999997E-3</v>
      </c>
      <c r="H120">
        <v>5.1000000000000004E-3</v>
      </c>
      <c r="I120">
        <v>6.6E-3</v>
      </c>
      <c r="J120">
        <v>7.6499999999999999E-2</v>
      </c>
      <c r="K120">
        <v>7.3000000000000001E-3</v>
      </c>
      <c r="L120">
        <v>8.4099999999999994E-2</v>
      </c>
    </row>
    <row r="121" spans="1:12" x14ac:dyDescent="0.2">
      <c r="A121">
        <v>36</v>
      </c>
      <c r="B121" t="s">
        <v>52</v>
      </c>
      <c r="C121">
        <v>0.17249999999999999</v>
      </c>
      <c r="D121">
        <v>12</v>
      </c>
      <c r="E121">
        <v>0.01</v>
      </c>
      <c r="F121">
        <v>5.3E-3</v>
      </c>
      <c r="G121">
        <v>7.1999999999999998E-3</v>
      </c>
      <c r="H121">
        <v>4.4999999999999997E-3</v>
      </c>
      <c r="I121">
        <v>1.12E-2</v>
      </c>
      <c r="J121">
        <v>0.126</v>
      </c>
      <c r="K121">
        <v>6.7000000000000002E-3</v>
      </c>
      <c r="L121">
        <v>7.7299999999999994E-2</v>
      </c>
    </row>
    <row r="122" spans="1:12" x14ac:dyDescent="0.2">
      <c r="A122">
        <v>36</v>
      </c>
      <c r="B122" t="s">
        <v>52</v>
      </c>
      <c r="C122">
        <v>0.17249999999999999</v>
      </c>
      <c r="D122">
        <v>13</v>
      </c>
      <c r="E122">
        <v>0.01</v>
      </c>
      <c r="F122">
        <v>4.7999999999999996E-3</v>
      </c>
      <c r="G122">
        <v>7.0000000000000001E-3</v>
      </c>
      <c r="H122">
        <v>3.8999999999999998E-3</v>
      </c>
      <c r="I122">
        <v>1.14E-2</v>
      </c>
      <c r="J122">
        <v>0.128</v>
      </c>
      <c r="K122">
        <v>6.1999999999999998E-3</v>
      </c>
      <c r="L122">
        <v>7.1800000000000003E-2</v>
      </c>
    </row>
    <row r="123" spans="1:12" x14ac:dyDescent="0.2">
      <c r="A123">
        <v>36</v>
      </c>
      <c r="B123" t="s">
        <v>52</v>
      </c>
      <c r="C123">
        <v>0.17249999999999999</v>
      </c>
      <c r="D123">
        <v>14</v>
      </c>
      <c r="E123">
        <v>5.0000000000000001E-3</v>
      </c>
      <c r="F123">
        <v>4.3E-3</v>
      </c>
      <c r="G123">
        <v>3.3999999999999998E-3</v>
      </c>
      <c r="H123">
        <v>3.3999999999999998E-3</v>
      </c>
      <c r="I123">
        <v>5.7999999999999996E-3</v>
      </c>
      <c r="J123">
        <v>6.7100000000000007E-2</v>
      </c>
      <c r="K123">
        <v>5.7000000000000002E-3</v>
      </c>
      <c r="L123">
        <v>6.6000000000000003E-2</v>
      </c>
    </row>
    <row r="124" spans="1:12" x14ac:dyDescent="0.2">
      <c r="A124">
        <v>36</v>
      </c>
      <c r="B124" t="s">
        <v>52</v>
      </c>
      <c r="C124">
        <v>0.17249999999999999</v>
      </c>
      <c r="D124">
        <v>15</v>
      </c>
      <c r="E124">
        <v>8.9999999999999993E-3</v>
      </c>
      <c r="F124">
        <v>3.8E-3</v>
      </c>
      <c r="G124">
        <v>5.7999999999999996E-3</v>
      </c>
      <c r="H124">
        <v>2.8999999999999998E-3</v>
      </c>
      <c r="I124">
        <v>1.0500000000000001E-2</v>
      </c>
      <c r="J124">
        <v>0.11899999999999999</v>
      </c>
      <c r="K124">
        <v>5.1000000000000004E-3</v>
      </c>
      <c r="L124">
        <v>5.96E-2</v>
      </c>
    </row>
    <row r="125" spans="1:12" x14ac:dyDescent="0.2">
      <c r="A125">
        <v>36</v>
      </c>
      <c r="B125" t="s">
        <v>52</v>
      </c>
      <c r="C125">
        <v>0.17249999999999999</v>
      </c>
      <c r="D125">
        <v>16</v>
      </c>
      <c r="E125">
        <v>4.0000000000000001E-3</v>
      </c>
      <c r="F125">
        <v>3.3999999999999998E-3</v>
      </c>
      <c r="G125">
        <v>2.5000000000000001E-3</v>
      </c>
      <c r="H125">
        <v>2.5000000000000001E-3</v>
      </c>
      <c r="I125">
        <v>4.7000000000000002E-3</v>
      </c>
      <c r="J125">
        <v>5.5399999999999998E-2</v>
      </c>
      <c r="K125">
        <v>4.7000000000000002E-3</v>
      </c>
      <c r="L125">
        <v>5.4600000000000003E-2</v>
      </c>
    </row>
    <row r="126" spans="1:12" x14ac:dyDescent="0.2">
      <c r="A126">
        <v>36</v>
      </c>
      <c r="B126" t="s">
        <v>52</v>
      </c>
      <c r="C126">
        <v>0.17249999999999999</v>
      </c>
      <c r="D126">
        <v>17</v>
      </c>
      <c r="E126">
        <v>7.0000000000000001E-3</v>
      </c>
      <c r="F126">
        <v>3.0000000000000001E-3</v>
      </c>
      <c r="G126">
        <v>4.1000000000000003E-3</v>
      </c>
      <c r="H126">
        <v>2.2000000000000001E-3</v>
      </c>
      <c r="I126">
        <v>8.3999999999999995E-3</v>
      </c>
      <c r="J126">
        <v>9.5899999999999999E-2</v>
      </c>
      <c r="K126">
        <v>4.1999999999999997E-3</v>
      </c>
      <c r="L126">
        <v>4.9099999999999998E-2</v>
      </c>
    </row>
    <row r="127" spans="1:12" x14ac:dyDescent="0.2">
      <c r="A127">
        <v>36</v>
      </c>
      <c r="B127" t="s">
        <v>52</v>
      </c>
      <c r="C127">
        <v>0.17249999999999999</v>
      </c>
      <c r="D127">
        <v>18</v>
      </c>
      <c r="E127">
        <v>4.0000000000000001E-3</v>
      </c>
      <c r="F127">
        <v>2.7000000000000001E-3</v>
      </c>
      <c r="G127">
        <v>2.3E-3</v>
      </c>
      <c r="H127">
        <v>1.9E-3</v>
      </c>
      <c r="I127">
        <v>4.7999999999999996E-3</v>
      </c>
      <c r="J127">
        <v>5.6599999999999998E-2</v>
      </c>
      <c r="K127">
        <v>3.8999999999999998E-3</v>
      </c>
      <c r="L127">
        <v>4.5199999999999997E-2</v>
      </c>
    </row>
    <row r="128" spans="1:12" x14ac:dyDescent="0.2">
      <c r="A128">
        <v>36</v>
      </c>
      <c r="B128" t="s">
        <v>52</v>
      </c>
      <c r="C128">
        <v>0.17249999999999999</v>
      </c>
      <c r="D128">
        <v>19</v>
      </c>
      <c r="E128">
        <v>0.01</v>
      </c>
      <c r="F128">
        <v>2.3999999999999998E-3</v>
      </c>
      <c r="G128">
        <v>5.4000000000000003E-3</v>
      </c>
      <c r="H128">
        <v>1.6000000000000001E-3</v>
      </c>
      <c r="I128">
        <v>1.2200000000000001E-2</v>
      </c>
      <c r="J128">
        <v>0.13700000000000001</v>
      </c>
      <c r="K128">
        <v>3.5000000000000001E-3</v>
      </c>
      <c r="L128">
        <v>4.1000000000000002E-2</v>
      </c>
    </row>
    <row r="129" spans="1:12" x14ac:dyDescent="0.2">
      <c r="A129">
        <v>36</v>
      </c>
      <c r="B129" t="s">
        <v>52</v>
      </c>
      <c r="C129">
        <v>0.17249999999999999</v>
      </c>
      <c r="D129">
        <v>20</v>
      </c>
      <c r="E129">
        <v>4.0000000000000001E-3</v>
      </c>
      <c r="F129">
        <v>2.0999999999999999E-3</v>
      </c>
      <c r="G129">
        <v>2E-3</v>
      </c>
      <c r="H129">
        <v>1.4E-3</v>
      </c>
      <c r="I129">
        <v>5.0000000000000001E-3</v>
      </c>
      <c r="J129">
        <v>5.79E-2</v>
      </c>
      <c r="K129">
        <v>3.0999999999999999E-3</v>
      </c>
      <c r="L129">
        <v>3.6900000000000002E-2</v>
      </c>
    </row>
    <row r="130" spans="1:12" x14ac:dyDescent="0.2">
      <c r="A130">
        <v>36</v>
      </c>
      <c r="B130" t="s">
        <v>52</v>
      </c>
      <c r="C130">
        <v>0.17249999999999999</v>
      </c>
      <c r="D130">
        <v>21</v>
      </c>
      <c r="E130">
        <v>8.0000000000000002E-3</v>
      </c>
      <c r="F130">
        <v>1.9E-3</v>
      </c>
      <c r="G130">
        <v>3.8E-3</v>
      </c>
      <c r="H130">
        <v>1.1999999999999999E-3</v>
      </c>
      <c r="I130">
        <v>0.01</v>
      </c>
      <c r="J130">
        <v>0.1135</v>
      </c>
      <c r="K130">
        <v>2.8999999999999998E-3</v>
      </c>
      <c r="L130">
        <v>3.4099999999999998E-2</v>
      </c>
    </row>
    <row r="131" spans="1:12" x14ac:dyDescent="0.2">
      <c r="A131">
        <v>36</v>
      </c>
      <c r="B131" t="s">
        <v>52</v>
      </c>
      <c r="C131">
        <v>0.17249999999999999</v>
      </c>
      <c r="D131">
        <v>22</v>
      </c>
      <c r="E131">
        <v>8.9999999999999993E-3</v>
      </c>
      <c r="F131">
        <v>1.6000000000000001E-3</v>
      </c>
      <c r="G131">
        <v>4.1000000000000003E-3</v>
      </c>
      <c r="H131">
        <v>8.9999999999999998E-4</v>
      </c>
      <c r="I131">
        <v>1.14E-2</v>
      </c>
      <c r="J131">
        <v>0.1283</v>
      </c>
      <c r="K131">
        <v>2.5000000000000001E-3</v>
      </c>
      <c r="L131">
        <v>2.9499999999999998E-2</v>
      </c>
    </row>
    <row r="132" spans="1:12" x14ac:dyDescent="0.2">
      <c r="A132">
        <v>36</v>
      </c>
      <c r="B132" t="s">
        <v>52</v>
      </c>
      <c r="C132">
        <v>0.17249999999999999</v>
      </c>
      <c r="D132">
        <v>23</v>
      </c>
      <c r="E132">
        <v>6.0000000000000001E-3</v>
      </c>
      <c r="F132">
        <v>1.5E-3</v>
      </c>
      <c r="G132">
        <v>2.5000000000000001E-3</v>
      </c>
      <c r="H132">
        <v>8.0000000000000004E-4</v>
      </c>
      <c r="I132">
        <v>7.7000000000000002E-3</v>
      </c>
      <c r="J132">
        <v>8.8499999999999995E-2</v>
      </c>
      <c r="K132">
        <v>2.3999999999999998E-3</v>
      </c>
      <c r="L132">
        <v>2.8500000000000001E-2</v>
      </c>
    </row>
    <row r="133" spans="1:12" x14ac:dyDescent="0.2">
      <c r="A133">
        <v>36</v>
      </c>
      <c r="B133" t="s">
        <v>52</v>
      </c>
      <c r="C133">
        <v>0.17249999999999999</v>
      </c>
      <c r="D133">
        <v>24</v>
      </c>
      <c r="E133">
        <v>6.0000000000000001E-3</v>
      </c>
      <c r="F133">
        <v>1.2999999999999999E-3</v>
      </c>
      <c r="G133">
        <v>2.3999999999999998E-3</v>
      </c>
      <c r="H133">
        <v>6.9999999999999999E-4</v>
      </c>
      <c r="I133">
        <v>7.7999999999999996E-3</v>
      </c>
      <c r="J133">
        <v>8.9300000000000004E-2</v>
      </c>
      <c r="K133">
        <v>2.0999999999999999E-3</v>
      </c>
      <c r="L133">
        <v>2.5399999999999999E-2</v>
      </c>
    </row>
    <row r="134" spans="1:12" x14ac:dyDescent="0.2">
      <c r="A134">
        <v>36</v>
      </c>
      <c r="B134" t="s">
        <v>52</v>
      </c>
      <c r="C134">
        <v>0.17249999999999999</v>
      </c>
      <c r="D134">
        <v>25</v>
      </c>
      <c r="E134">
        <v>7.0000000000000001E-3</v>
      </c>
      <c r="F134">
        <v>1.1999999999999999E-3</v>
      </c>
      <c r="G134">
        <v>2.5000000000000001E-3</v>
      </c>
      <c r="H134">
        <v>5.9999999999999995E-4</v>
      </c>
      <c r="I134">
        <v>9.1000000000000004E-3</v>
      </c>
      <c r="J134">
        <v>0.10440000000000001</v>
      </c>
      <c r="K134">
        <v>2E-3</v>
      </c>
      <c r="L134">
        <v>2.41E-2</v>
      </c>
    </row>
    <row r="135" spans="1:12" x14ac:dyDescent="0.2">
      <c r="A135">
        <v>36</v>
      </c>
      <c r="B135" t="s">
        <v>52</v>
      </c>
      <c r="C135">
        <v>0.17249999999999999</v>
      </c>
      <c r="D135">
        <v>26</v>
      </c>
      <c r="E135">
        <v>5.0000000000000001E-3</v>
      </c>
      <c r="F135">
        <v>1E-3</v>
      </c>
      <c r="G135">
        <v>1.6999999999999999E-3</v>
      </c>
      <c r="H135">
        <v>5.0000000000000001E-4</v>
      </c>
      <c r="I135">
        <v>6.6E-3</v>
      </c>
      <c r="J135">
        <v>7.6399999999999996E-2</v>
      </c>
      <c r="K135">
        <v>1.8E-3</v>
      </c>
      <c r="L135">
        <v>2.0799999999999999E-2</v>
      </c>
    </row>
    <row r="136" spans="1:12" x14ac:dyDescent="0.2">
      <c r="A136">
        <v>36</v>
      </c>
      <c r="B136" t="s">
        <v>52</v>
      </c>
      <c r="C136">
        <v>0.17249999999999999</v>
      </c>
      <c r="D136">
        <v>27</v>
      </c>
      <c r="E136">
        <v>4.0000000000000001E-3</v>
      </c>
      <c r="F136">
        <v>8.9999999999999998E-4</v>
      </c>
      <c r="G136">
        <v>1.1999999999999999E-3</v>
      </c>
      <c r="H136">
        <v>4.0000000000000002E-4</v>
      </c>
      <c r="I136">
        <v>5.3E-3</v>
      </c>
      <c r="J136">
        <v>6.2100000000000002E-2</v>
      </c>
      <c r="K136">
        <v>1.6000000000000001E-3</v>
      </c>
      <c r="L136">
        <v>1.9400000000000001E-2</v>
      </c>
    </row>
    <row r="137" spans="1:12" x14ac:dyDescent="0.2">
      <c r="A137">
        <v>36</v>
      </c>
      <c r="B137" t="s">
        <v>52</v>
      </c>
      <c r="C137">
        <v>0.17249999999999999</v>
      </c>
      <c r="D137">
        <v>28</v>
      </c>
      <c r="E137">
        <v>8.9999999999999993E-3</v>
      </c>
      <c r="F137">
        <v>8.0000000000000004E-4</v>
      </c>
      <c r="G137">
        <v>2.3999999999999998E-3</v>
      </c>
      <c r="H137">
        <v>2.9999999999999997E-4</v>
      </c>
      <c r="I137">
        <v>1.21E-2</v>
      </c>
      <c r="J137">
        <v>0.13550000000000001</v>
      </c>
      <c r="K137">
        <v>1.5E-3</v>
      </c>
      <c r="L137">
        <v>1.7899999999999999E-2</v>
      </c>
    </row>
    <row r="138" spans="1:12" x14ac:dyDescent="0.2">
      <c r="A138">
        <v>36</v>
      </c>
      <c r="B138" t="s">
        <v>52</v>
      </c>
      <c r="C138">
        <v>0.17249999999999999</v>
      </c>
      <c r="D138">
        <v>29</v>
      </c>
      <c r="E138">
        <v>4.0000000000000001E-3</v>
      </c>
      <c r="F138">
        <v>6.9999999999999999E-4</v>
      </c>
      <c r="G138">
        <v>8.9999999999999998E-4</v>
      </c>
      <c r="H138">
        <v>2.9999999999999997E-4</v>
      </c>
      <c r="I138">
        <v>5.4000000000000003E-3</v>
      </c>
      <c r="J138">
        <v>6.3299999999999995E-2</v>
      </c>
      <c r="K138">
        <v>1.4E-3</v>
      </c>
      <c r="L138">
        <v>1.6500000000000001E-2</v>
      </c>
    </row>
    <row r="139" spans="1:12" x14ac:dyDescent="0.2">
      <c r="A139">
        <v>36</v>
      </c>
      <c r="B139" t="s">
        <v>52</v>
      </c>
      <c r="C139">
        <v>0.17249999999999999</v>
      </c>
      <c r="D139">
        <v>30</v>
      </c>
      <c r="E139">
        <v>8.0000000000000002E-3</v>
      </c>
      <c r="F139">
        <v>6.9999999999999999E-4</v>
      </c>
      <c r="G139">
        <v>1.6000000000000001E-3</v>
      </c>
      <c r="H139">
        <v>2.9999999999999997E-4</v>
      </c>
      <c r="I139">
        <v>1.09E-2</v>
      </c>
      <c r="J139">
        <v>0.1236</v>
      </c>
      <c r="K139">
        <v>1.5E-3</v>
      </c>
      <c r="L139">
        <v>1.7399999999999999E-2</v>
      </c>
    </row>
    <row r="140" spans="1:12" x14ac:dyDescent="0.2">
      <c r="A140">
        <v>36</v>
      </c>
      <c r="B140" t="s">
        <v>52</v>
      </c>
      <c r="C140">
        <v>0.17249999999999999</v>
      </c>
      <c r="D140">
        <v>31</v>
      </c>
      <c r="E140">
        <v>7.0000000000000001E-3</v>
      </c>
      <c r="F140">
        <v>5.9999999999999995E-4</v>
      </c>
      <c r="G140">
        <v>1.1999999999999999E-3</v>
      </c>
      <c r="H140">
        <v>2.0000000000000001E-4</v>
      </c>
      <c r="I140">
        <v>9.7000000000000003E-3</v>
      </c>
      <c r="J140">
        <v>0.1101</v>
      </c>
      <c r="K140">
        <v>1.2999999999999999E-3</v>
      </c>
      <c r="L140">
        <v>1.6E-2</v>
      </c>
    </row>
    <row r="141" spans="1:12" x14ac:dyDescent="0.2">
      <c r="A141">
        <v>36</v>
      </c>
      <c r="B141" t="s">
        <v>52</v>
      </c>
      <c r="C141">
        <v>0.17249999999999999</v>
      </c>
      <c r="D141">
        <v>32</v>
      </c>
      <c r="E141">
        <v>5.0000000000000001E-3</v>
      </c>
      <c r="F141">
        <v>5.0000000000000001E-4</v>
      </c>
      <c r="G141">
        <v>6.9999999999999999E-4</v>
      </c>
      <c r="H141">
        <v>2.0000000000000001E-4</v>
      </c>
      <c r="I141">
        <v>7.0000000000000001E-3</v>
      </c>
      <c r="J141">
        <v>8.0699999999999994E-2</v>
      </c>
      <c r="K141">
        <v>1.1999999999999999E-3</v>
      </c>
      <c r="L141">
        <v>1.46E-2</v>
      </c>
    </row>
    <row r="142" spans="1:12" x14ac:dyDescent="0.2">
      <c r="A142">
        <v>36</v>
      </c>
      <c r="B142" t="s">
        <v>52</v>
      </c>
      <c r="C142">
        <v>0.17249999999999999</v>
      </c>
      <c r="D142">
        <v>33</v>
      </c>
      <c r="E142">
        <v>6.0000000000000001E-3</v>
      </c>
      <c r="F142">
        <v>5.0000000000000001E-4</v>
      </c>
      <c r="G142">
        <v>5.9999999999999995E-4</v>
      </c>
      <c r="H142">
        <v>1E-4</v>
      </c>
      <c r="I142">
        <v>8.3999999999999995E-3</v>
      </c>
      <c r="J142">
        <v>9.6699999999999994E-2</v>
      </c>
      <c r="K142">
        <v>1.4E-3</v>
      </c>
      <c r="L142">
        <v>1.6299999999999999E-2</v>
      </c>
    </row>
    <row r="143" spans="1:12" x14ac:dyDescent="0.2">
      <c r="A143">
        <v>36</v>
      </c>
      <c r="B143" t="s">
        <v>52</v>
      </c>
      <c r="C143">
        <v>0.17249999999999999</v>
      </c>
      <c r="D143">
        <v>34</v>
      </c>
      <c r="E143">
        <v>8.0000000000000002E-3</v>
      </c>
      <c r="F143">
        <v>4.0000000000000002E-4</v>
      </c>
      <c r="G143">
        <v>5.9999999999999995E-4</v>
      </c>
      <c r="H143">
        <v>1E-4</v>
      </c>
      <c r="I143">
        <v>1.14E-2</v>
      </c>
      <c r="J143">
        <v>0.12809999999999999</v>
      </c>
      <c r="K143">
        <v>1.2999999999999999E-3</v>
      </c>
      <c r="L143">
        <v>1.54E-2</v>
      </c>
    </row>
    <row r="144" spans="1:12" x14ac:dyDescent="0.2">
      <c r="A144">
        <v>36</v>
      </c>
      <c r="B144" t="s">
        <v>52</v>
      </c>
      <c r="C144">
        <v>0.17249999999999999</v>
      </c>
      <c r="D144">
        <v>35</v>
      </c>
      <c r="E144">
        <v>7.0000000000000001E-3</v>
      </c>
      <c r="F144">
        <v>4.0000000000000002E-4</v>
      </c>
      <c r="G144">
        <v>2.0000000000000001E-4</v>
      </c>
      <c r="H144">
        <v>1E-4</v>
      </c>
      <c r="I144">
        <v>0.01</v>
      </c>
      <c r="J144">
        <v>0.11409999999999999</v>
      </c>
      <c r="K144">
        <v>1.6999999999999999E-3</v>
      </c>
      <c r="L144">
        <v>1.9900000000000001E-2</v>
      </c>
    </row>
    <row r="145" spans="1:12" x14ac:dyDescent="0.2">
      <c r="A145">
        <v>36</v>
      </c>
      <c r="B145" t="s">
        <v>52</v>
      </c>
      <c r="C145">
        <v>0.17249999999999999</v>
      </c>
      <c r="D145">
        <v>36</v>
      </c>
      <c r="E145">
        <v>5.0000000000000001E-3</v>
      </c>
      <c r="F145">
        <v>4.0000000000000002E-4</v>
      </c>
      <c r="G145">
        <v>0</v>
      </c>
      <c r="H145">
        <v>1E-4</v>
      </c>
      <c r="I145">
        <v>0</v>
      </c>
      <c r="J145">
        <v>0</v>
      </c>
      <c r="K145">
        <v>2.8E-3</v>
      </c>
      <c r="L145">
        <v>3.3399999999999999E-2</v>
      </c>
    </row>
    <row r="146" spans="1:12" x14ac:dyDescent="0.2">
      <c r="A146">
        <v>36</v>
      </c>
      <c r="B146" t="s">
        <v>53</v>
      </c>
      <c r="C146">
        <v>0.20039999999999999</v>
      </c>
      <c r="D146">
        <v>1</v>
      </c>
      <c r="E146">
        <v>5.0000000000000001E-3</v>
      </c>
      <c r="F146">
        <v>0</v>
      </c>
      <c r="G146">
        <v>4.8999999999999998E-3</v>
      </c>
      <c r="H146">
        <v>0</v>
      </c>
      <c r="I146">
        <v>5.0000000000000001E-3</v>
      </c>
      <c r="J146">
        <v>5.8400000000000001E-2</v>
      </c>
      <c r="K146">
        <v>0</v>
      </c>
      <c r="L146">
        <v>0</v>
      </c>
    </row>
    <row r="147" spans="1:12" x14ac:dyDescent="0.2">
      <c r="A147">
        <v>36</v>
      </c>
      <c r="B147" t="s">
        <v>53</v>
      </c>
      <c r="C147">
        <v>0.20039999999999999</v>
      </c>
      <c r="D147">
        <v>2</v>
      </c>
      <c r="E147">
        <v>8.0000000000000002E-3</v>
      </c>
      <c r="F147">
        <v>0</v>
      </c>
      <c r="G147">
        <v>7.7000000000000002E-3</v>
      </c>
      <c r="H147">
        <v>0</v>
      </c>
      <c r="I147">
        <v>8.0000000000000002E-3</v>
      </c>
      <c r="J147">
        <v>9.2299999999999993E-2</v>
      </c>
      <c r="K147">
        <v>0</v>
      </c>
      <c r="L147">
        <v>0</v>
      </c>
    </row>
    <row r="148" spans="1:12" x14ac:dyDescent="0.2">
      <c r="A148">
        <v>36</v>
      </c>
      <c r="B148" t="s">
        <v>53</v>
      </c>
      <c r="C148">
        <v>0.20039999999999999</v>
      </c>
      <c r="D148">
        <v>3</v>
      </c>
      <c r="E148">
        <v>6.0000000000000001E-3</v>
      </c>
      <c r="F148">
        <v>0</v>
      </c>
      <c r="G148">
        <v>5.5999999999999999E-3</v>
      </c>
      <c r="H148">
        <v>0</v>
      </c>
      <c r="I148">
        <v>6.1000000000000004E-3</v>
      </c>
      <c r="J148">
        <v>7.0499999999999993E-2</v>
      </c>
      <c r="K148">
        <v>0</v>
      </c>
      <c r="L148">
        <v>0</v>
      </c>
    </row>
    <row r="149" spans="1:12" x14ac:dyDescent="0.2">
      <c r="A149">
        <v>36</v>
      </c>
      <c r="B149" t="s">
        <v>53</v>
      </c>
      <c r="C149">
        <v>0.20039999999999999</v>
      </c>
      <c r="D149">
        <v>4</v>
      </c>
      <c r="E149">
        <v>5.0000000000000001E-3</v>
      </c>
      <c r="F149">
        <v>2.0000000000000001E-4</v>
      </c>
      <c r="G149">
        <v>4.5999999999999999E-3</v>
      </c>
      <c r="H149">
        <v>2.0000000000000001E-4</v>
      </c>
      <c r="I149">
        <v>5.1000000000000004E-3</v>
      </c>
      <c r="J149">
        <v>5.9499999999999997E-2</v>
      </c>
      <c r="K149">
        <v>2.0000000000000001E-4</v>
      </c>
      <c r="L149">
        <v>2.5999999999999999E-3</v>
      </c>
    </row>
    <row r="150" spans="1:12" x14ac:dyDescent="0.2">
      <c r="A150">
        <v>36</v>
      </c>
      <c r="B150" t="s">
        <v>53</v>
      </c>
      <c r="C150">
        <v>0.20039999999999999</v>
      </c>
      <c r="D150">
        <v>5</v>
      </c>
      <c r="E150">
        <v>8.0000000000000002E-3</v>
      </c>
      <c r="F150">
        <v>1.1999999999999999E-3</v>
      </c>
      <c r="G150">
        <v>7.1999999999999998E-3</v>
      </c>
      <c r="H150">
        <v>1.1999999999999999E-3</v>
      </c>
      <c r="I150">
        <v>8.2000000000000007E-3</v>
      </c>
      <c r="J150">
        <v>9.4E-2</v>
      </c>
      <c r="K150">
        <v>1.2999999999999999E-3</v>
      </c>
      <c r="L150">
        <v>1.6E-2</v>
      </c>
    </row>
    <row r="151" spans="1:12" x14ac:dyDescent="0.2">
      <c r="A151">
        <v>36</v>
      </c>
      <c r="B151" t="s">
        <v>53</v>
      </c>
      <c r="C151">
        <v>0.20039999999999999</v>
      </c>
      <c r="D151">
        <v>6</v>
      </c>
      <c r="E151">
        <v>5.0000000000000001E-3</v>
      </c>
      <c r="F151">
        <v>2.7000000000000001E-3</v>
      </c>
      <c r="G151">
        <v>4.4000000000000003E-3</v>
      </c>
      <c r="H151">
        <v>2.5999999999999999E-3</v>
      </c>
      <c r="I151">
        <v>5.1999999999999998E-3</v>
      </c>
      <c r="J151">
        <v>6.0299999999999999E-2</v>
      </c>
      <c r="K151">
        <v>3.0999999999999999E-3</v>
      </c>
      <c r="L151">
        <v>3.61E-2</v>
      </c>
    </row>
    <row r="152" spans="1:12" x14ac:dyDescent="0.2">
      <c r="A152">
        <v>36</v>
      </c>
      <c r="B152" t="s">
        <v>53</v>
      </c>
      <c r="C152">
        <v>0.20039999999999999</v>
      </c>
      <c r="D152">
        <v>7</v>
      </c>
      <c r="E152">
        <v>7.0000000000000001E-3</v>
      </c>
      <c r="F152">
        <v>4.1999999999999997E-3</v>
      </c>
      <c r="G152">
        <v>5.8999999999999999E-3</v>
      </c>
      <c r="H152">
        <v>4.0000000000000001E-3</v>
      </c>
      <c r="I152">
        <v>7.3000000000000001E-3</v>
      </c>
      <c r="J152">
        <v>8.4099999999999994E-2</v>
      </c>
      <c r="K152">
        <v>4.7999999999999996E-3</v>
      </c>
      <c r="L152">
        <v>5.62E-2</v>
      </c>
    </row>
    <row r="153" spans="1:12" x14ac:dyDescent="0.2">
      <c r="A153">
        <v>36</v>
      </c>
      <c r="B153" t="s">
        <v>53</v>
      </c>
      <c r="C153">
        <v>0.20039999999999999</v>
      </c>
      <c r="D153">
        <v>8</v>
      </c>
      <c r="E153">
        <v>5.0000000000000001E-3</v>
      </c>
      <c r="F153">
        <v>5.4000000000000003E-3</v>
      </c>
      <c r="G153">
        <v>4.1000000000000003E-3</v>
      </c>
      <c r="H153">
        <v>5.1000000000000004E-3</v>
      </c>
      <c r="I153">
        <v>5.3E-3</v>
      </c>
      <c r="J153">
        <v>6.1400000000000003E-2</v>
      </c>
      <c r="K153">
        <v>6.3E-3</v>
      </c>
      <c r="L153">
        <v>7.2800000000000004E-2</v>
      </c>
    </row>
    <row r="154" spans="1:12" x14ac:dyDescent="0.2">
      <c r="A154">
        <v>36</v>
      </c>
      <c r="B154" t="s">
        <v>53</v>
      </c>
      <c r="C154">
        <v>0.20039999999999999</v>
      </c>
      <c r="D154">
        <v>9</v>
      </c>
      <c r="E154">
        <v>4.0000000000000001E-3</v>
      </c>
      <c r="F154">
        <v>6.1000000000000004E-3</v>
      </c>
      <c r="G154">
        <v>3.2000000000000002E-3</v>
      </c>
      <c r="H154">
        <v>5.5999999999999999E-3</v>
      </c>
      <c r="I154">
        <v>4.3E-3</v>
      </c>
      <c r="J154">
        <v>4.99E-2</v>
      </c>
      <c r="K154">
        <v>7.1999999999999998E-3</v>
      </c>
      <c r="L154">
        <v>8.3099999999999993E-2</v>
      </c>
    </row>
    <row r="155" spans="1:12" x14ac:dyDescent="0.2">
      <c r="A155">
        <v>36</v>
      </c>
      <c r="B155" t="s">
        <v>53</v>
      </c>
      <c r="C155">
        <v>0.20039999999999999</v>
      </c>
      <c r="D155">
        <v>10</v>
      </c>
      <c r="E155">
        <v>8.9999999999999993E-3</v>
      </c>
      <c r="F155">
        <v>6.4000000000000003E-3</v>
      </c>
      <c r="G155">
        <v>7.0000000000000001E-3</v>
      </c>
      <c r="H155">
        <v>5.7000000000000002E-3</v>
      </c>
      <c r="I155">
        <v>9.7000000000000003E-3</v>
      </c>
      <c r="J155">
        <v>0.1103</v>
      </c>
      <c r="K155">
        <v>7.7000000000000002E-3</v>
      </c>
      <c r="L155">
        <v>8.8300000000000003E-2</v>
      </c>
    </row>
    <row r="156" spans="1:12" x14ac:dyDescent="0.2">
      <c r="A156">
        <v>36</v>
      </c>
      <c r="B156" t="s">
        <v>53</v>
      </c>
      <c r="C156">
        <v>0.20039999999999999</v>
      </c>
      <c r="D156">
        <v>11</v>
      </c>
      <c r="E156">
        <v>4.0000000000000001E-3</v>
      </c>
      <c r="F156">
        <v>6.3E-3</v>
      </c>
      <c r="G156">
        <v>3.0000000000000001E-3</v>
      </c>
      <c r="H156">
        <v>5.4999999999999997E-3</v>
      </c>
      <c r="I156">
        <v>4.4000000000000003E-3</v>
      </c>
      <c r="J156">
        <v>5.1299999999999998E-2</v>
      </c>
      <c r="K156">
        <v>7.7000000000000002E-3</v>
      </c>
      <c r="L156">
        <v>8.8800000000000004E-2</v>
      </c>
    </row>
    <row r="157" spans="1:12" x14ac:dyDescent="0.2">
      <c r="A157">
        <v>36</v>
      </c>
      <c r="B157" t="s">
        <v>53</v>
      </c>
      <c r="C157">
        <v>0.20039999999999999</v>
      </c>
      <c r="D157">
        <v>12</v>
      </c>
      <c r="E157">
        <v>8.0000000000000002E-3</v>
      </c>
      <c r="F157">
        <v>6.1000000000000004E-3</v>
      </c>
      <c r="G157">
        <v>5.7999999999999996E-3</v>
      </c>
      <c r="H157">
        <v>5.1999999999999998E-3</v>
      </c>
      <c r="I157">
        <v>8.8999999999999999E-3</v>
      </c>
      <c r="J157">
        <v>0.1012</v>
      </c>
      <c r="K157">
        <v>7.6E-3</v>
      </c>
      <c r="L157">
        <v>8.7499999999999994E-2</v>
      </c>
    </row>
    <row r="158" spans="1:12" x14ac:dyDescent="0.2">
      <c r="A158">
        <v>36</v>
      </c>
      <c r="B158" t="s">
        <v>53</v>
      </c>
      <c r="C158">
        <v>0.20039999999999999</v>
      </c>
      <c r="D158">
        <v>13</v>
      </c>
      <c r="E158">
        <v>7.0000000000000001E-3</v>
      </c>
      <c r="F158">
        <v>5.5999999999999999E-3</v>
      </c>
      <c r="G158">
        <v>4.8999999999999998E-3</v>
      </c>
      <c r="H158">
        <v>4.5999999999999999E-3</v>
      </c>
      <c r="I158">
        <v>7.9000000000000008E-3</v>
      </c>
      <c r="J158">
        <v>9.0499999999999997E-2</v>
      </c>
      <c r="K158">
        <v>7.1000000000000004E-3</v>
      </c>
      <c r="L158">
        <v>8.2199999999999995E-2</v>
      </c>
    </row>
    <row r="159" spans="1:12" x14ac:dyDescent="0.2">
      <c r="A159">
        <v>36</v>
      </c>
      <c r="B159" t="s">
        <v>53</v>
      </c>
      <c r="C159">
        <v>0.20039999999999999</v>
      </c>
      <c r="D159">
        <v>14</v>
      </c>
      <c r="E159">
        <v>5.0000000000000001E-3</v>
      </c>
      <c r="F159">
        <v>5.1999999999999998E-3</v>
      </c>
      <c r="G159">
        <v>3.3999999999999998E-3</v>
      </c>
      <c r="H159">
        <v>4.1999999999999997E-3</v>
      </c>
      <c r="I159">
        <v>5.7000000000000002E-3</v>
      </c>
      <c r="J159">
        <v>6.6299999999999998E-2</v>
      </c>
      <c r="K159">
        <v>6.7999999999999996E-3</v>
      </c>
      <c r="L159">
        <v>7.8100000000000003E-2</v>
      </c>
    </row>
    <row r="160" spans="1:12" x14ac:dyDescent="0.2">
      <c r="A160">
        <v>36</v>
      </c>
      <c r="B160" t="s">
        <v>53</v>
      </c>
      <c r="C160">
        <v>0.20039999999999999</v>
      </c>
      <c r="D160">
        <v>15</v>
      </c>
      <c r="E160">
        <v>6.0000000000000001E-3</v>
      </c>
      <c r="F160">
        <v>4.5999999999999999E-3</v>
      </c>
      <c r="G160">
        <v>3.8999999999999998E-3</v>
      </c>
      <c r="H160">
        <v>3.5999999999999999E-3</v>
      </c>
      <c r="I160">
        <v>6.8999999999999999E-3</v>
      </c>
      <c r="J160">
        <v>0.08</v>
      </c>
      <c r="K160">
        <v>6.1000000000000004E-3</v>
      </c>
      <c r="L160">
        <v>7.0599999999999996E-2</v>
      </c>
    </row>
    <row r="161" spans="1:12" x14ac:dyDescent="0.2">
      <c r="A161">
        <v>36</v>
      </c>
      <c r="B161" t="s">
        <v>53</v>
      </c>
      <c r="C161">
        <v>0.20039999999999999</v>
      </c>
      <c r="D161">
        <v>16</v>
      </c>
      <c r="E161">
        <v>0.01</v>
      </c>
      <c r="F161">
        <v>4.1000000000000003E-3</v>
      </c>
      <c r="G161">
        <v>6.3E-3</v>
      </c>
      <c r="H161">
        <v>3.0999999999999999E-3</v>
      </c>
      <c r="I161">
        <v>1.17E-2</v>
      </c>
      <c r="J161">
        <v>0.13159999999999999</v>
      </c>
      <c r="K161">
        <v>5.4999999999999997E-3</v>
      </c>
      <c r="L161">
        <v>6.4399999999999999E-2</v>
      </c>
    </row>
    <row r="162" spans="1:12" x14ac:dyDescent="0.2">
      <c r="A162">
        <v>36</v>
      </c>
      <c r="B162" t="s">
        <v>53</v>
      </c>
      <c r="C162">
        <v>0.20039999999999999</v>
      </c>
      <c r="D162">
        <v>17</v>
      </c>
      <c r="E162">
        <v>0.01</v>
      </c>
      <c r="F162">
        <v>3.7000000000000002E-3</v>
      </c>
      <c r="G162">
        <v>6.0000000000000001E-3</v>
      </c>
      <c r="H162">
        <v>2.7000000000000001E-3</v>
      </c>
      <c r="I162">
        <v>1.1900000000000001E-2</v>
      </c>
      <c r="J162">
        <v>0.13370000000000001</v>
      </c>
      <c r="K162">
        <v>5.1000000000000004E-3</v>
      </c>
      <c r="L162">
        <v>5.9700000000000003E-2</v>
      </c>
    </row>
    <row r="163" spans="1:12" x14ac:dyDescent="0.2">
      <c r="A163">
        <v>36</v>
      </c>
      <c r="B163" t="s">
        <v>53</v>
      </c>
      <c r="C163">
        <v>0.20039999999999999</v>
      </c>
      <c r="D163">
        <v>18</v>
      </c>
      <c r="E163">
        <v>5.0000000000000001E-3</v>
      </c>
      <c r="F163">
        <v>3.2000000000000002E-3</v>
      </c>
      <c r="G163">
        <v>2.8999999999999998E-3</v>
      </c>
      <c r="H163">
        <v>2.3E-3</v>
      </c>
      <c r="I163">
        <v>6.0000000000000001E-3</v>
      </c>
      <c r="J163">
        <v>7.0099999999999996E-2</v>
      </c>
      <c r="K163">
        <v>4.4999999999999997E-3</v>
      </c>
      <c r="L163">
        <v>5.3100000000000001E-2</v>
      </c>
    </row>
    <row r="164" spans="1:12" x14ac:dyDescent="0.2">
      <c r="A164">
        <v>36</v>
      </c>
      <c r="B164" t="s">
        <v>53</v>
      </c>
      <c r="C164">
        <v>0.20039999999999999</v>
      </c>
      <c r="D164">
        <v>19</v>
      </c>
      <c r="E164">
        <v>8.9999999999999993E-3</v>
      </c>
      <c r="F164">
        <v>2.8E-3</v>
      </c>
      <c r="G164">
        <v>4.8999999999999998E-3</v>
      </c>
      <c r="H164">
        <v>1.9E-3</v>
      </c>
      <c r="I164">
        <v>1.0999999999999999E-2</v>
      </c>
      <c r="J164">
        <v>0.1242</v>
      </c>
      <c r="K164">
        <v>4.0000000000000001E-3</v>
      </c>
      <c r="L164">
        <v>4.7500000000000001E-2</v>
      </c>
    </row>
    <row r="165" spans="1:12" x14ac:dyDescent="0.2">
      <c r="A165">
        <v>36</v>
      </c>
      <c r="B165" t="s">
        <v>53</v>
      </c>
      <c r="C165">
        <v>0.20039999999999999</v>
      </c>
      <c r="D165">
        <v>20</v>
      </c>
      <c r="E165">
        <v>4.0000000000000001E-3</v>
      </c>
      <c r="F165">
        <v>2.5000000000000001E-3</v>
      </c>
      <c r="G165">
        <v>2.0999999999999999E-3</v>
      </c>
      <c r="H165">
        <v>1.6000000000000001E-3</v>
      </c>
      <c r="I165">
        <v>5.0000000000000001E-3</v>
      </c>
      <c r="J165">
        <v>5.79E-2</v>
      </c>
      <c r="K165">
        <v>3.7000000000000002E-3</v>
      </c>
      <c r="L165">
        <v>4.36E-2</v>
      </c>
    </row>
    <row r="166" spans="1:12" x14ac:dyDescent="0.2">
      <c r="A166">
        <v>36</v>
      </c>
      <c r="B166" t="s">
        <v>53</v>
      </c>
      <c r="C166">
        <v>0.20039999999999999</v>
      </c>
      <c r="D166">
        <v>21</v>
      </c>
      <c r="E166">
        <v>7.0000000000000001E-3</v>
      </c>
      <c r="F166">
        <v>2.2000000000000001E-3</v>
      </c>
      <c r="G166">
        <v>3.3999999999999998E-3</v>
      </c>
      <c r="H166">
        <v>1.4E-3</v>
      </c>
      <c r="I166">
        <v>8.6999999999999994E-3</v>
      </c>
      <c r="J166">
        <v>0.1</v>
      </c>
      <c r="K166">
        <v>3.3E-3</v>
      </c>
      <c r="L166">
        <v>3.9199999999999999E-2</v>
      </c>
    </row>
    <row r="167" spans="1:12" x14ac:dyDescent="0.2">
      <c r="A167">
        <v>36</v>
      </c>
      <c r="B167" t="s">
        <v>53</v>
      </c>
      <c r="C167">
        <v>0.20039999999999999</v>
      </c>
      <c r="D167">
        <v>22</v>
      </c>
      <c r="E167">
        <v>4.0000000000000001E-3</v>
      </c>
      <c r="F167">
        <v>1.9E-3</v>
      </c>
      <c r="G167">
        <v>1.8E-3</v>
      </c>
      <c r="H167">
        <v>1.1000000000000001E-3</v>
      </c>
      <c r="I167">
        <v>5.1000000000000004E-3</v>
      </c>
      <c r="J167">
        <v>5.8999999999999997E-2</v>
      </c>
      <c r="K167">
        <v>2.8999999999999998E-3</v>
      </c>
      <c r="L167">
        <v>3.4799999999999998E-2</v>
      </c>
    </row>
    <row r="168" spans="1:12" x14ac:dyDescent="0.2">
      <c r="A168">
        <v>36</v>
      </c>
      <c r="B168" t="s">
        <v>53</v>
      </c>
      <c r="C168">
        <v>0.20039999999999999</v>
      </c>
      <c r="D168">
        <v>23</v>
      </c>
      <c r="E168">
        <v>0.01</v>
      </c>
      <c r="F168">
        <v>1.6000000000000001E-3</v>
      </c>
      <c r="G168">
        <v>4.3E-3</v>
      </c>
      <c r="H168">
        <v>8.9999999999999998E-4</v>
      </c>
      <c r="I168">
        <v>1.2699999999999999E-2</v>
      </c>
      <c r="J168">
        <v>0.14249999999999999</v>
      </c>
      <c r="K168">
        <v>2.5000000000000001E-3</v>
      </c>
      <c r="L168">
        <v>0.03</v>
      </c>
    </row>
    <row r="169" spans="1:12" x14ac:dyDescent="0.2">
      <c r="A169">
        <v>36</v>
      </c>
      <c r="B169" t="s">
        <v>53</v>
      </c>
      <c r="C169">
        <v>0.20039999999999999</v>
      </c>
      <c r="D169">
        <v>24</v>
      </c>
      <c r="E169">
        <v>4.0000000000000001E-3</v>
      </c>
      <c r="F169">
        <v>1.4E-3</v>
      </c>
      <c r="G169">
        <v>1.6000000000000001E-3</v>
      </c>
      <c r="H169">
        <v>8.0000000000000004E-4</v>
      </c>
      <c r="I169">
        <v>5.1999999999999998E-3</v>
      </c>
      <c r="J169">
        <v>6.0299999999999999E-2</v>
      </c>
      <c r="K169">
        <v>2.3E-3</v>
      </c>
      <c r="L169">
        <v>2.7199999999999998E-2</v>
      </c>
    </row>
    <row r="170" spans="1:12" x14ac:dyDescent="0.2">
      <c r="A170">
        <v>36</v>
      </c>
      <c r="B170" t="s">
        <v>53</v>
      </c>
      <c r="C170">
        <v>0.20039999999999999</v>
      </c>
      <c r="D170">
        <v>25</v>
      </c>
      <c r="E170">
        <v>8.0000000000000002E-3</v>
      </c>
      <c r="F170">
        <v>1.1999999999999999E-3</v>
      </c>
      <c r="G170">
        <v>3.0000000000000001E-3</v>
      </c>
      <c r="H170">
        <v>5.9999999999999995E-4</v>
      </c>
      <c r="I170">
        <v>1.04E-2</v>
      </c>
      <c r="J170">
        <v>0.11799999999999999</v>
      </c>
      <c r="K170">
        <v>2E-3</v>
      </c>
      <c r="L170">
        <v>2.3900000000000001E-2</v>
      </c>
    </row>
    <row r="171" spans="1:12" x14ac:dyDescent="0.2">
      <c r="A171">
        <v>36</v>
      </c>
      <c r="B171" t="s">
        <v>53</v>
      </c>
      <c r="C171">
        <v>0.20039999999999999</v>
      </c>
      <c r="D171">
        <v>26</v>
      </c>
      <c r="E171">
        <v>8.9999999999999993E-3</v>
      </c>
      <c r="F171">
        <v>1.1000000000000001E-3</v>
      </c>
      <c r="G171">
        <v>3.0999999999999999E-3</v>
      </c>
      <c r="H171">
        <v>5.0000000000000001E-4</v>
      </c>
      <c r="I171">
        <v>1.1900000000000001E-2</v>
      </c>
      <c r="J171">
        <v>0.1333</v>
      </c>
      <c r="K171">
        <v>1.9E-3</v>
      </c>
      <c r="L171">
        <v>2.2700000000000001E-2</v>
      </c>
    </row>
    <row r="172" spans="1:12" x14ac:dyDescent="0.2">
      <c r="A172">
        <v>36</v>
      </c>
      <c r="B172" t="s">
        <v>53</v>
      </c>
      <c r="C172">
        <v>0.20039999999999999</v>
      </c>
      <c r="D172">
        <v>27</v>
      </c>
      <c r="E172">
        <v>6.0000000000000001E-3</v>
      </c>
      <c r="F172">
        <v>8.9999999999999998E-4</v>
      </c>
      <c r="G172">
        <v>1.9E-3</v>
      </c>
      <c r="H172">
        <v>4.0000000000000002E-4</v>
      </c>
      <c r="I172">
        <v>8.0000000000000002E-3</v>
      </c>
      <c r="J172">
        <v>9.1999999999999998E-2</v>
      </c>
      <c r="K172">
        <v>1.6000000000000001E-3</v>
      </c>
      <c r="L172">
        <v>1.9400000000000001E-2</v>
      </c>
    </row>
    <row r="173" spans="1:12" x14ac:dyDescent="0.2">
      <c r="A173">
        <v>36</v>
      </c>
      <c r="B173" t="s">
        <v>53</v>
      </c>
      <c r="C173">
        <v>0.20039999999999999</v>
      </c>
      <c r="D173">
        <v>28</v>
      </c>
      <c r="E173">
        <v>6.0000000000000001E-3</v>
      </c>
      <c r="F173">
        <v>8.0000000000000004E-4</v>
      </c>
      <c r="G173">
        <v>1.6999999999999999E-3</v>
      </c>
      <c r="H173">
        <v>2.9999999999999997E-4</v>
      </c>
      <c r="I173">
        <v>8.0999999999999996E-3</v>
      </c>
      <c r="J173">
        <v>9.2799999999999994E-2</v>
      </c>
      <c r="K173">
        <v>1.5E-3</v>
      </c>
      <c r="L173">
        <v>1.7899999999999999E-2</v>
      </c>
    </row>
    <row r="174" spans="1:12" x14ac:dyDescent="0.2">
      <c r="A174">
        <v>36</v>
      </c>
      <c r="B174" t="s">
        <v>53</v>
      </c>
      <c r="C174">
        <v>0.20039999999999999</v>
      </c>
      <c r="D174">
        <v>29</v>
      </c>
      <c r="E174">
        <v>7.0000000000000001E-3</v>
      </c>
      <c r="F174">
        <v>6.9999999999999999E-4</v>
      </c>
      <c r="G174">
        <v>1.6999999999999999E-3</v>
      </c>
      <c r="H174">
        <v>2.9999999999999997E-4</v>
      </c>
      <c r="I174">
        <v>9.4999999999999998E-3</v>
      </c>
      <c r="J174">
        <v>0.1084</v>
      </c>
      <c r="K174">
        <v>1.4E-3</v>
      </c>
      <c r="L174">
        <v>1.6500000000000001E-2</v>
      </c>
    </row>
    <row r="175" spans="1:12" x14ac:dyDescent="0.2">
      <c r="A175">
        <v>36</v>
      </c>
      <c r="B175" t="s">
        <v>53</v>
      </c>
      <c r="C175">
        <v>0.20039999999999999</v>
      </c>
      <c r="D175">
        <v>30</v>
      </c>
      <c r="E175">
        <v>5.0000000000000001E-3</v>
      </c>
      <c r="F175">
        <v>5.9999999999999995E-4</v>
      </c>
      <c r="G175">
        <v>1.1000000000000001E-3</v>
      </c>
      <c r="H175">
        <v>2.0000000000000001E-4</v>
      </c>
      <c r="I175">
        <v>6.8999999999999999E-3</v>
      </c>
      <c r="J175">
        <v>7.9399999999999998E-2</v>
      </c>
      <c r="K175">
        <v>1.2999999999999999E-3</v>
      </c>
      <c r="L175">
        <v>1.4999999999999999E-2</v>
      </c>
    </row>
    <row r="176" spans="1:12" x14ac:dyDescent="0.2">
      <c r="A176">
        <v>36</v>
      </c>
      <c r="B176" t="s">
        <v>53</v>
      </c>
      <c r="C176">
        <v>0.20039999999999999</v>
      </c>
      <c r="D176">
        <v>31</v>
      </c>
      <c r="E176">
        <v>4.0000000000000001E-3</v>
      </c>
      <c r="F176">
        <v>5.0000000000000001E-4</v>
      </c>
      <c r="G176">
        <v>6.9999999999999999E-4</v>
      </c>
      <c r="H176">
        <v>2.0000000000000001E-4</v>
      </c>
      <c r="I176">
        <v>5.4999999999999997E-3</v>
      </c>
      <c r="J176">
        <v>6.4500000000000002E-2</v>
      </c>
      <c r="K176">
        <v>1.1000000000000001E-3</v>
      </c>
      <c r="L176">
        <v>1.3299999999999999E-2</v>
      </c>
    </row>
    <row r="177" spans="1:12" x14ac:dyDescent="0.2">
      <c r="A177">
        <v>36</v>
      </c>
      <c r="B177" t="s">
        <v>53</v>
      </c>
      <c r="C177">
        <v>0.20039999999999999</v>
      </c>
      <c r="D177">
        <v>32</v>
      </c>
      <c r="E177">
        <v>8.9999999999999993E-3</v>
      </c>
      <c r="F177">
        <v>5.0000000000000001E-4</v>
      </c>
      <c r="G177">
        <v>1.2999999999999999E-3</v>
      </c>
      <c r="H177">
        <v>2.0000000000000001E-4</v>
      </c>
      <c r="I177">
        <v>1.2500000000000001E-2</v>
      </c>
      <c r="J177">
        <v>0.14050000000000001</v>
      </c>
      <c r="K177">
        <v>1.1999999999999999E-3</v>
      </c>
      <c r="L177">
        <v>1.4500000000000001E-2</v>
      </c>
    </row>
    <row r="178" spans="1:12" x14ac:dyDescent="0.2">
      <c r="A178">
        <v>36</v>
      </c>
      <c r="B178" t="s">
        <v>53</v>
      </c>
      <c r="C178">
        <v>0.20039999999999999</v>
      </c>
      <c r="D178">
        <v>33</v>
      </c>
      <c r="E178">
        <v>4.0000000000000001E-3</v>
      </c>
      <c r="F178">
        <v>4.0000000000000002E-4</v>
      </c>
      <c r="G178">
        <v>4.0000000000000002E-4</v>
      </c>
      <c r="H178">
        <v>1E-4</v>
      </c>
      <c r="I178">
        <v>5.5999999999999999E-3</v>
      </c>
      <c r="J178">
        <v>6.5699999999999995E-2</v>
      </c>
      <c r="K178">
        <v>1.1000000000000001E-3</v>
      </c>
      <c r="L178">
        <v>1.2999999999999999E-2</v>
      </c>
    </row>
    <row r="179" spans="1:12" x14ac:dyDescent="0.2">
      <c r="A179">
        <v>36</v>
      </c>
      <c r="B179" t="s">
        <v>53</v>
      </c>
      <c r="C179">
        <v>0.20039999999999999</v>
      </c>
      <c r="D179">
        <v>34</v>
      </c>
      <c r="E179">
        <v>8.0000000000000002E-3</v>
      </c>
      <c r="F179">
        <v>4.0000000000000002E-4</v>
      </c>
      <c r="G179">
        <v>5.9999999999999995E-4</v>
      </c>
      <c r="H179">
        <v>1E-4</v>
      </c>
      <c r="I179">
        <v>1.14E-2</v>
      </c>
      <c r="J179">
        <v>0.12809999999999999</v>
      </c>
      <c r="K179">
        <v>1.2999999999999999E-3</v>
      </c>
      <c r="L179">
        <v>1.5299999999999999E-2</v>
      </c>
    </row>
    <row r="180" spans="1:12" x14ac:dyDescent="0.2">
      <c r="A180">
        <v>36</v>
      </c>
      <c r="B180" t="s">
        <v>53</v>
      </c>
      <c r="C180">
        <v>0.20039999999999999</v>
      </c>
      <c r="D180">
        <v>35</v>
      </c>
      <c r="E180">
        <v>7.0000000000000001E-3</v>
      </c>
      <c r="F180">
        <v>2.9999999999999997E-4</v>
      </c>
      <c r="G180">
        <v>2.9999999999999997E-4</v>
      </c>
      <c r="H180">
        <v>1E-4</v>
      </c>
      <c r="I180">
        <v>1.01E-2</v>
      </c>
      <c r="J180">
        <v>0.1142</v>
      </c>
      <c r="K180">
        <v>1.2999999999999999E-3</v>
      </c>
      <c r="L180">
        <v>1.49E-2</v>
      </c>
    </row>
    <row r="181" spans="1:12" x14ac:dyDescent="0.2">
      <c r="A181">
        <v>36</v>
      </c>
      <c r="B181" t="s">
        <v>53</v>
      </c>
      <c r="C181">
        <v>0.20039999999999999</v>
      </c>
      <c r="D181">
        <v>36</v>
      </c>
      <c r="E181">
        <v>5.0000000000000001E-3</v>
      </c>
      <c r="F181">
        <v>2.9999999999999997E-4</v>
      </c>
      <c r="G181">
        <v>0</v>
      </c>
      <c r="H181">
        <v>1E-4</v>
      </c>
      <c r="I181">
        <v>0</v>
      </c>
      <c r="J181">
        <v>0</v>
      </c>
      <c r="K181">
        <v>2.0999999999999999E-3</v>
      </c>
      <c r="L181">
        <v>2.5000000000000001E-2</v>
      </c>
    </row>
    <row r="182" spans="1:12" x14ac:dyDescent="0.2">
      <c r="A182">
        <v>36</v>
      </c>
      <c r="B182" t="s">
        <v>103</v>
      </c>
      <c r="C182">
        <v>0.24160000000000001</v>
      </c>
      <c r="D182">
        <v>1</v>
      </c>
      <c r="E182">
        <v>0.01</v>
      </c>
      <c r="F182">
        <v>0</v>
      </c>
      <c r="G182">
        <v>9.7999999999999997E-3</v>
      </c>
      <c r="H182">
        <v>0</v>
      </c>
      <c r="I182">
        <v>0.01</v>
      </c>
      <c r="J182">
        <v>0.11360000000000001</v>
      </c>
      <c r="K182">
        <v>0</v>
      </c>
      <c r="L182">
        <v>0</v>
      </c>
    </row>
    <row r="183" spans="1:12" x14ac:dyDescent="0.2">
      <c r="A183">
        <v>36</v>
      </c>
      <c r="B183" t="s">
        <v>103</v>
      </c>
      <c r="C183">
        <v>0.24160000000000001</v>
      </c>
      <c r="D183">
        <v>2</v>
      </c>
      <c r="E183">
        <v>1.6E-2</v>
      </c>
      <c r="F183">
        <v>0</v>
      </c>
      <c r="G183">
        <v>1.54E-2</v>
      </c>
      <c r="H183">
        <v>0</v>
      </c>
      <c r="I183">
        <v>1.6199999999999999E-2</v>
      </c>
      <c r="J183">
        <v>0.17760000000000001</v>
      </c>
      <c r="K183">
        <v>0</v>
      </c>
      <c r="L183">
        <v>0</v>
      </c>
    </row>
    <row r="184" spans="1:12" x14ac:dyDescent="0.2">
      <c r="A184">
        <v>36</v>
      </c>
      <c r="B184" t="s">
        <v>103</v>
      </c>
      <c r="C184">
        <v>0.24160000000000001</v>
      </c>
      <c r="D184">
        <v>3</v>
      </c>
      <c r="E184">
        <v>1.2E-2</v>
      </c>
      <c r="F184">
        <v>0</v>
      </c>
      <c r="G184">
        <v>1.1299999999999999E-2</v>
      </c>
      <c r="H184">
        <v>0</v>
      </c>
      <c r="I184">
        <v>1.23E-2</v>
      </c>
      <c r="J184">
        <v>0.13819999999999999</v>
      </c>
      <c r="K184">
        <v>0</v>
      </c>
      <c r="L184">
        <v>0</v>
      </c>
    </row>
    <row r="185" spans="1:12" x14ac:dyDescent="0.2">
      <c r="A185">
        <v>36</v>
      </c>
      <c r="B185" t="s">
        <v>103</v>
      </c>
      <c r="C185">
        <v>0.24160000000000001</v>
      </c>
      <c r="D185">
        <v>4</v>
      </c>
      <c r="E185">
        <v>0.01</v>
      </c>
      <c r="F185">
        <v>2.0000000000000001E-4</v>
      </c>
      <c r="G185">
        <v>9.1999999999999998E-3</v>
      </c>
      <c r="H185">
        <v>2.0000000000000001E-4</v>
      </c>
      <c r="I185">
        <v>1.04E-2</v>
      </c>
      <c r="J185">
        <v>0.1177</v>
      </c>
      <c r="K185">
        <v>2.0000000000000001E-4</v>
      </c>
      <c r="L185">
        <v>2.5999999999999999E-3</v>
      </c>
    </row>
    <row r="186" spans="1:12" x14ac:dyDescent="0.2">
      <c r="A186">
        <v>36</v>
      </c>
      <c r="B186" t="s">
        <v>103</v>
      </c>
      <c r="C186">
        <v>0.24160000000000001</v>
      </c>
      <c r="D186">
        <v>5</v>
      </c>
      <c r="E186">
        <v>1.6E-2</v>
      </c>
      <c r="F186">
        <v>2.8999999999999998E-3</v>
      </c>
      <c r="G186">
        <v>1.44E-2</v>
      </c>
      <c r="H186">
        <v>2.8999999999999998E-3</v>
      </c>
      <c r="I186">
        <v>1.6799999999999999E-2</v>
      </c>
      <c r="J186">
        <v>0.1837</v>
      </c>
      <c r="K186">
        <v>3.3E-3</v>
      </c>
      <c r="L186">
        <v>3.8899999999999997E-2</v>
      </c>
    </row>
    <row r="187" spans="1:12" x14ac:dyDescent="0.2">
      <c r="A187">
        <v>36</v>
      </c>
      <c r="B187" t="s">
        <v>103</v>
      </c>
      <c r="C187">
        <v>0.24160000000000001</v>
      </c>
      <c r="D187">
        <v>6</v>
      </c>
      <c r="E187">
        <v>0.01</v>
      </c>
      <c r="F187">
        <v>8.6E-3</v>
      </c>
      <c r="G187">
        <v>8.8000000000000005E-3</v>
      </c>
      <c r="H187">
        <v>8.3999999999999995E-3</v>
      </c>
      <c r="I187">
        <v>1.0699999999999999E-2</v>
      </c>
      <c r="J187">
        <v>0.12089999999999999</v>
      </c>
      <c r="K187">
        <v>0.01</v>
      </c>
      <c r="L187">
        <v>0.1137</v>
      </c>
    </row>
    <row r="188" spans="1:12" x14ac:dyDescent="0.2">
      <c r="A188">
        <v>36</v>
      </c>
      <c r="B188" t="s">
        <v>103</v>
      </c>
      <c r="C188">
        <v>0.24160000000000001</v>
      </c>
      <c r="D188">
        <v>7</v>
      </c>
      <c r="E188">
        <v>1.4E-2</v>
      </c>
      <c r="F188">
        <v>1.46E-2</v>
      </c>
      <c r="G188">
        <v>1.2E-2</v>
      </c>
      <c r="H188">
        <v>1.4E-2</v>
      </c>
      <c r="I188">
        <v>1.52E-2</v>
      </c>
      <c r="J188">
        <v>0.16830000000000001</v>
      </c>
      <c r="K188">
        <v>1.7399999999999999E-2</v>
      </c>
      <c r="L188">
        <v>0.1898</v>
      </c>
    </row>
    <row r="189" spans="1:12" x14ac:dyDescent="0.2">
      <c r="A189">
        <v>36</v>
      </c>
      <c r="B189" t="s">
        <v>103</v>
      </c>
      <c r="C189">
        <v>0.24160000000000001</v>
      </c>
      <c r="D189">
        <v>8</v>
      </c>
      <c r="E189">
        <v>0.01</v>
      </c>
      <c r="F189">
        <v>1.9E-2</v>
      </c>
      <c r="G189">
        <v>8.3999999999999995E-3</v>
      </c>
      <c r="H189">
        <v>1.7899999999999999E-2</v>
      </c>
      <c r="I189">
        <v>1.12E-2</v>
      </c>
      <c r="J189">
        <v>0.12670000000000001</v>
      </c>
      <c r="K189">
        <v>2.3400000000000001E-2</v>
      </c>
      <c r="L189">
        <v>0.2475</v>
      </c>
    </row>
    <row r="190" spans="1:12" x14ac:dyDescent="0.2">
      <c r="A190">
        <v>36</v>
      </c>
      <c r="B190" t="s">
        <v>103</v>
      </c>
      <c r="C190">
        <v>0.24160000000000001</v>
      </c>
      <c r="D190">
        <v>9</v>
      </c>
      <c r="E190">
        <v>8.0000000000000002E-3</v>
      </c>
      <c r="F190">
        <v>2.1299999999999999E-2</v>
      </c>
      <c r="G190">
        <v>6.4999999999999997E-3</v>
      </c>
      <c r="H190">
        <v>1.9599999999999999E-2</v>
      </c>
      <c r="I190">
        <v>9.2999999999999992E-3</v>
      </c>
      <c r="J190">
        <v>0.10580000000000001</v>
      </c>
      <c r="K190">
        <v>2.7199999999999998E-2</v>
      </c>
      <c r="L190">
        <v>0.28210000000000002</v>
      </c>
    </row>
    <row r="191" spans="1:12" x14ac:dyDescent="0.2">
      <c r="A191">
        <v>36</v>
      </c>
      <c r="B191" t="s">
        <v>103</v>
      </c>
      <c r="C191">
        <v>0.24160000000000001</v>
      </c>
      <c r="D191">
        <v>10</v>
      </c>
      <c r="E191">
        <v>1.7999999999999999E-2</v>
      </c>
      <c r="F191">
        <v>2.1899999999999999E-2</v>
      </c>
      <c r="G191">
        <v>1.4200000000000001E-2</v>
      </c>
      <c r="H191">
        <v>1.9699999999999999E-2</v>
      </c>
      <c r="I191">
        <v>2.1600000000000001E-2</v>
      </c>
      <c r="J191">
        <v>0.23050000000000001</v>
      </c>
      <c r="K191">
        <v>2.9100000000000001E-2</v>
      </c>
      <c r="L191">
        <v>0.29849999999999999</v>
      </c>
    </row>
    <row r="192" spans="1:12" x14ac:dyDescent="0.2">
      <c r="A192">
        <v>36</v>
      </c>
      <c r="B192" t="s">
        <v>103</v>
      </c>
      <c r="C192">
        <v>0.24160000000000001</v>
      </c>
      <c r="D192">
        <v>11</v>
      </c>
      <c r="E192">
        <v>8.0000000000000002E-3</v>
      </c>
      <c r="F192">
        <v>2.12E-2</v>
      </c>
      <c r="G192">
        <v>6.1000000000000004E-3</v>
      </c>
      <c r="H192">
        <v>1.8599999999999998E-2</v>
      </c>
      <c r="I192">
        <v>1.01E-2</v>
      </c>
      <c r="J192">
        <v>0.1145</v>
      </c>
      <c r="K192">
        <v>2.9700000000000001E-2</v>
      </c>
      <c r="L192">
        <v>0.30399999999999999</v>
      </c>
    </row>
    <row r="193" spans="1:12" x14ac:dyDescent="0.2">
      <c r="A193">
        <v>36</v>
      </c>
      <c r="B193" t="s">
        <v>103</v>
      </c>
      <c r="C193">
        <v>0.24160000000000001</v>
      </c>
      <c r="D193">
        <v>12</v>
      </c>
      <c r="E193">
        <v>1.6E-2</v>
      </c>
      <c r="F193">
        <v>1.9699999999999999E-2</v>
      </c>
      <c r="G193">
        <v>1.1900000000000001E-2</v>
      </c>
      <c r="H193">
        <v>1.6899999999999998E-2</v>
      </c>
      <c r="I193">
        <v>2.0899999999999998E-2</v>
      </c>
      <c r="J193">
        <v>0.2243</v>
      </c>
      <c r="K193">
        <v>2.8899999999999999E-2</v>
      </c>
      <c r="L193">
        <v>0.29630000000000001</v>
      </c>
    </row>
    <row r="194" spans="1:12" x14ac:dyDescent="0.2">
      <c r="A194">
        <v>36</v>
      </c>
      <c r="B194" t="s">
        <v>103</v>
      </c>
      <c r="C194">
        <v>0.24160000000000001</v>
      </c>
      <c r="D194">
        <v>13</v>
      </c>
      <c r="E194">
        <v>1.4E-2</v>
      </c>
      <c r="F194">
        <v>1.78E-2</v>
      </c>
      <c r="G194">
        <v>1.01E-2</v>
      </c>
      <c r="H194">
        <v>1.49E-2</v>
      </c>
      <c r="I194">
        <v>1.9199999999999998E-2</v>
      </c>
      <c r="J194">
        <v>0.2079</v>
      </c>
      <c r="K194">
        <v>2.75E-2</v>
      </c>
      <c r="L194">
        <v>0.28460000000000002</v>
      </c>
    </row>
    <row r="195" spans="1:12" x14ac:dyDescent="0.2">
      <c r="A195">
        <v>36</v>
      </c>
      <c r="B195" t="s">
        <v>103</v>
      </c>
      <c r="C195">
        <v>0.24160000000000001</v>
      </c>
      <c r="D195">
        <v>14</v>
      </c>
      <c r="E195">
        <v>0.01</v>
      </c>
      <c r="F195">
        <v>1.5900000000000001E-2</v>
      </c>
      <c r="G195">
        <v>6.8999999999999999E-3</v>
      </c>
      <c r="H195">
        <v>1.29E-2</v>
      </c>
      <c r="I195">
        <v>1.44E-2</v>
      </c>
      <c r="J195">
        <v>0.1595</v>
      </c>
      <c r="K195">
        <v>2.5899999999999999E-2</v>
      </c>
      <c r="L195">
        <v>0.26989999999999997</v>
      </c>
    </row>
    <row r="196" spans="1:12" x14ac:dyDescent="0.2">
      <c r="A196">
        <v>36</v>
      </c>
      <c r="B196" t="s">
        <v>103</v>
      </c>
      <c r="C196">
        <v>0.24160000000000001</v>
      </c>
      <c r="D196">
        <v>15</v>
      </c>
      <c r="E196">
        <v>1.2E-2</v>
      </c>
      <c r="F196">
        <v>1.3899999999999999E-2</v>
      </c>
      <c r="G196">
        <v>8.0000000000000002E-3</v>
      </c>
      <c r="H196">
        <v>1.0999999999999999E-2</v>
      </c>
      <c r="I196">
        <v>1.7899999999999999E-2</v>
      </c>
      <c r="J196">
        <v>0.1951</v>
      </c>
      <c r="K196">
        <v>2.3699999999999999E-2</v>
      </c>
      <c r="L196">
        <v>0.24979999999999999</v>
      </c>
    </row>
    <row r="197" spans="1:12" x14ac:dyDescent="0.2">
      <c r="A197">
        <v>36</v>
      </c>
      <c r="B197" t="s">
        <v>103</v>
      </c>
      <c r="C197">
        <v>0.24160000000000001</v>
      </c>
      <c r="D197">
        <v>16</v>
      </c>
      <c r="E197">
        <v>0.02</v>
      </c>
      <c r="F197">
        <v>1.21E-2</v>
      </c>
      <c r="G197">
        <v>1.2800000000000001E-2</v>
      </c>
      <c r="H197">
        <v>9.2999999999999992E-3</v>
      </c>
      <c r="I197">
        <v>3.1099999999999999E-2</v>
      </c>
      <c r="J197">
        <v>0.3155</v>
      </c>
      <c r="K197">
        <v>2.1600000000000001E-2</v>
      </c>
      <c r="L197">
        <v>0.23050000000000001</v>
      </c>
    </row>
    <row r="198" spans="1:12" x14ac:dyDescent="0.2">
      <c r="A198">
        <v>36</v>
      </c>
      <c r="B198" t="s">
        <v>103</v>
      </c>
      <c r="C198">
        <v>0.24160000000000001</v>
      </c>
      <c r="D198">
        <v>17</v>
      </c>
      <c r="E198">
        <v>0.02</v>
      </c>
      <c r="F198">
        <v>1.04E-2</v>
      </c>
      <c r="G198">
        <v>1.23E-2</v>
      </c>
      <c r="H198">
        <v>7.7000000000000002E-3</v>
      </c>
      <c r="I198">
        <v>3.2800000000000003E-2</v>
      </c>
      <c r="J198">
        <v>0.32940000000000003</v>
      </c>
      <c r="K198">
        <v>1.9699999999999999E-2</v>
      </c>
      <c r="L198">
        <v>0.21240000000000001</v>
      </c>
    </row>
    <row r="199" spans="1:12" x14ac:dyDescent="0.2">
      <c r="A199">
        <v>36</v>
      </c>
      <c r="B199" t="s">
        <v>103</v>
      </c>
      <c r="C199">
        <v>0.24160000000000001</v>
      </c>
      <c r="D199">
        <v>18</v>
      </c>
      <c r="E199">
        <v>0.01</v>
      </c>
      <c r="F199">
        <v>8.9999999999999993E-3</v>
      </c>
      <c r="G199">
        <v>5.8999999999999999E-3</v>
      </c>
      <c r="H199">
        <v>6.4999999999999997E-3</v>
      </c>
      <c r="I199">
        <v>1.72E-2</v>
      </c>
      <c r="J199">
        <v>0.18840000000000001</v>
      </c>
      <c r="K199">
        <v>1.8100000000000002E-2</v>
      </c>
      <c r="L199">
        <v>0.19689999999999999</v>
      </c>
    </row>
    <row r="200" spans="1:12" x14ac:dyDescent="0.2">
      <c r="A200">
        <v>36</v>
      </c>
      <c r="B200" t="s">
        <v>103</v>
      </c>
      <c r="C200">
        <v>0.24160000000000001</v>
      </c>
      <c r="D200">
        <v>19</v>
      </c>
      <c r="E200">
        <v>1.7999999999999999E-2</v>
      </c>
      <c r="F200">
        <v>7.7000000000000002E-3</v>
      </c>
      <c r="G200">
        <v>1.01E-2</v>
      </c>
      <c r="H200">
        <v>5.3E-3</v>
      </c>
      <c r="I200">
        <v>3.2099999999999997E-2</v>
      </c>
      <c r="J200">
        <v>0.32400000000000001</v>
      </c>
      <c r="K200">
        <v>1.6199999999999999E-2</v>
      </c>
      <c r="L200">
        <v>0.17780000000000001</v>
      </c>
    </row>
    <row r="201" spans="1:12" x14ac:dyDescent="0.2">
      <c r="A201">
        <v>36</v>
      </c>
      <c r="B201" t="s">
        <v>103</v>
      </c>
      <c r="C201">
        <v>0.24160000000000001</v>
      </c>
      <c r="D201">
        <v>20</v>
      </c>
      <c r="E201">
        <v>8.0000000000000002E-3</v>
      </c>
      <c r="F201">
        <v>6.6E-3</v>
      </c>
      <c r="G201">
        <v>4.3E-3</v>
      </c>
      <c r="H201">
        <v>4.4000000000000003E-3</v>
      </c>
      <c r="I201">
        <v>1.4999999999999999E-2</v>
      </c>
      <c r="J201">
        <v>0.16550000000000001</v>
      </c>
      <c r="K201">
        <v>1.47E-2</v>
      </c>
      <c r="L201">
        <v>0.16270000000000001</v>
      </c>
    </row>
    <row r="202" spans="1:12" x14ac:dyDescent="0.2">
      <c r="A202">
        <v>36</v>
      </c>
      <c r="B202" t="s">
        <v>103</v>
      </c>
      <c r="C202">
        <v>0.24160000000000001</v>
      </c>
      <c r="D202">
        <v>21</v>
      </c>
      <c r="E202">
        <v>1.4E-2</v>
      </c>
      <c r="F202">
        <v>5.5999999999999999E-3</v>
      </c>
      <c r="G202">
        <v>7.1000000000000004E-3</v>
      </c>
      <c r="H202">
        <v>3.5999999999999999E-3</v>
      </c>
      <c r="I202">
        <v>2.69E-2</v>
      </c>
      <c r="J202">
        <v>0.27939999999999998</v>
      </c>
      <c r="K202">
        <v>1.2999999999999999E-2</v>
      </c>
      <c r="L202">
        <v>0.14499999999999999</v>
      </c>
    </row>
    <row r="203" spans="1:12" x14ac:dyDescent="0.2">
      <c r="A203">
        <v>36</v>
      </c>
      <c r="B203" t="s">
        <v>103</v>
      </c>
      <c r="C203">
        <v>0.24160000000000001</v>
      </c>
      <c r="D203">
        <v>22</v>
      </c>
      <c r="E203">
        <v>8.0000000000000002E-3</v>
      </c>
      <c r="F203">
        <v>4.7999999999999996E-3</v>
      </c>
      <c r="G203">
        <v>3.8E-3</v>
      </c>
      <c r="H203">
        <v>3.0000000000000001E-3</v>
      </c>
      <c r="I203">
        <v>1.6E-2</v>
      </c>
      <c r="J203">
        <v>0.17599999999999999</v>
      </c>
      <c r="K203">
        <v>1.17E-2</v>
      </c>
      <c r="L203">
        <v>0.1318</v>
      </c>
    </row>
    <row r="204" spans="1:12" x14ac:dyDescent="0.2">
      <c r="A204">
        <v>36</v>
      </c>
      <c r="B204" t="s">
        <v>103</v>
      </c>
      <c r="C204">
        <v>0.24160000000000001</v>
      </c>
      <c r="D204">
        <v>23</v>
      </c>
      <c r="E204">
        <v>0.02</v>
      </c>
      <c r="F204">
        <v>4.1000000000000003E-3</v>
      </c>
      <c r="G204">
        <v>8.8999999999999999E-3</v>
      </c>
      <c r="H204">
        <v>2.3999999999999998E-3</v>
      </c>
      <c r="I204">
        <v>4.1099999999999998E-2</v>
      </c>
      <c r="J204">
        <v>0.39539999999999997</v>
      </c>
      <c r="K204">
        <v>1.04E-2</v>
      </c>
      <c r="L204">
        <v>0.1182</v>
      </c>
    </row>
    <row r="205" spans="1:12" x14ac:dyDescent="0.2">
      <c r="A205">
        <v>36</v>
      </c>
      <c r="B205" t="s">
        <v>103</v>
      </c>
      <c r="C205">
        <v>0.24160000000000001</v>
      </c>
      <c r="D205">
        <v>24</v>
      </c>
      <c r="E205">
        <v>8.0000000000000002E-3</v>
      </c>
      <c r="F205">
        <v>3.5000000000000001E-3</v>
      </c>
      <c r="G205">
        <v>3.3E-3</v>
      </c>
      <c r="H205">
        <v>2E-3</v>
      </c>
      <c r="I205">
        <v>1.7299999999999999E-2</v>
      </c>
      <c r="J205">
        <v>0.1888</v>
      </c>
      <c r="K205">
        <v>9.4999999999999998E-3</v>
      </c>
      <c r="L205">
        <v>0.1085</v>
      </c>
    </row>
    <row r="206" spans="1:12" x14ac:dyDescent="0.2">
      <c r="A206">
        <v>36</v>
      </c>
      <c r="B206" t="s">
        <v>103</v>
      </c>
      <c r="C206">
        <v>0.24160000000000001</v>
      </c>
      <c r="D206">
        <v>25</v>
      </c>
      <c r="E206">
        <v>1.6E-2</v>
      </c>
      <c r="F206">
        <v>3.0000000000000001E-3</v>
      </c>
      <c r="G206">
        <v>6.1999999999999998E-3</v>
      </c>
      <c r="H206">
        <v>1.6000000000000001E-3</v>
      </c>
      <c r="I206">
        <v>3.5499999999999997E-2</v>
      </c>
      <c r="J206">
        <v>0.35160000000000002</v>
      </c>
      <c r="K206">
        <v>8.5000000000000006E-3</v>
      </c>
      <c r="L206">
        <v>9.7799999999999998E-2</v>
      </c>
    </row>
    <row r="207" spans="1:12" x14ac:dyDescent="0.2">
      <c r="A207">
        <v>36</v>
      </c>
      <c r="B207" t="s">
        <v>103</v>
      </c>
      <c r="C207">
        <v>0.24160000000000001</v>
      </c>
      <c r="D207">
        <v>26</v>
      </c>
      <c r="E207">
        <v>1.7999999999999999E-2</v>
      </c>
      <c r="F207">
        <v>2.5000000000000001E-3</v>
      </c>
      <c r="G207">
        <v>6.4000000000000003E-3</v>
      </c>
      <c r="H207">
        <v>1.2999999999999999E-3</v>
      </c>
      <c r="I207">
        <v>4.1700000000000001E-2</v>
      </c>
      <c r="J207">
        <v>0.39989999999999998</v>
      </c>
      <c r="K207">
        <v>7.6E-3</v>
      </c>
      <c r="L207">
        <v>8.7499999999999994E-2</v>
      </c>
    </row>
    <row r="208" spans="1:12" x14ac:dyDescent="0.2">
      <c r="A208">
        <v>36</v>
      </c>
      <c r="B208" t="s">
        <v>103</v>
      </c>
      <c r="C208">
        <v>0.24160000000000001</v>
      </c>
      <c r="D208">
        <v>27</v>
      </c>
      <c r="E208">
        <v>1.2E-2</v>
      </c>
      <c r="F208">
        <v>2.2000000000000001E-3</v>
      </c>
      <c r="G208">
        <v>3.8E-3</v>
      </c>
      <c r="H208">
        <v>1E-3</v>
      </c>
      <c r="I208">
        <v>2.92E-2</v>
      </c>
      <c r="J208">
        <v>0.2989</v>
      </c>
      <c r="K208">
        <v>7.1999999999999998E-3</v>
      </c>
      <c r="L208">
        <v>8.3099999999999993E-2</v>
      </c>
    </row>
    <row r="209" spans="1:12" x14ac:dyDescent="0.2">
      <c r="A209">
        <v>36</v>
      </c>
      <c r="B209" t="s">
        <v>103</v>
      </c>
      <c r="C209">
        <v>0.24160000000000001</v>
      </c>
      <c r="D209">
        <v>28</v>
      </c>
      <c r="E209">
        <v>1.2E-2</v>
      </c>
      <c r="F209">
        <v>1.9E-3</v>
      </c>
      <c r="G209">
        <v>3.5000000000000001E-3</v>
      </c>
      <c r="H209">
        <v>8.0000000000000004E-4</v>
      </c>
      <c r="I209">
        <v>3.0200000000000001E-2</v>
      </c>
      <c r="J209">
        <v>0.30790000000000001</v>
      </c>
      <c r="K209">
        <v>6.7000000000000002E-3</v>
      </c>
      <c r="L209">
        <v>7.6999999999999999E-2</v>
      </c>
    </row>
    <row r="210" spans="1:12" x14ac:dyDescent="0.2">
      <c r="A210">
        <v>36</v>
      </c>
      <c r="B210" t="s">
        <v>103</v>
      </c>
      <c r="C210">
        <v>0.24160000000000001</v>
      </c>
      <c r="D210">
        <v>29</v>
      </c>
      <c r="E210">
        <v>1.4E-2</v>
      </c>
      <c r="F210">
        <v>1.6000000000000001E-3</v>
      </c>
      <c r="G210">
        <v>3.5999999999999999E-3</v>
      </c>
      <c r="H210">
        <v>6.9999999999999999E-4</v>
      </c>
      <c r="I210">
        <v>3.6499999999999998E-2</v>
      </c>
      <c r="J210">
        <v>0.36009999999999998</v>
      </c>
      <c r="K210">
        <v>6.0000000000000001E-3</v>
      </c>
      <c r="L210">
        <v>7.0000000000000007E-2</v>
      </c>
    </row>
    <row r="211" spans="1:12" x14ac:dyDescent="0.2">
      <c r="A211">
        <v>36</v>
      </c>
      <c r="B211" t="s">
        <v>103</v>
      </c>
      <c r="C211">
        <v>0.24160000000000001</v>
      </c>
      <c r="D211">
        <v>30</v>
      </c>
      <c r="E211">
        <v>0.01</v>
      </c>
      <c r="F211">
        <v>1.4E-3</v>
      </c>
      <c r="G211">
        <v>2.2000000000000001E-3</v>
      </c>
      <c r="H211">
        <v>5.0000000000000001E-4</v>
      </c>
      <c r="I211">
        <v>2.7199999999999998E-2</v>
      </c>
      <c r="J211">
        <v>0.28160000000000002</v>
      </c>
      <c r="K211">
        <v>5.7999999999999996E-3</v>
      </c>
      <c r="L211">
        <v>6.7000000000000004E-2</v>
      </c>
    </row>
    <row r="212" spans="1:12" x14ac:dyDescent="0.2">
      <c r="A212">
        <v>36</v>
      </c>
      <c r="B212" t="s">
        <v>103</v>
      </c>
      <c r="C212">
        <v>0.24160000000000001</v>
      </c>
      <c r="D212">
        <v>31</v>
      </c>
      <c r="E212">
        <v>8.0000000000000002E-3</v>
      </c>
      <c r="F212">
        <v>1.1999999999999999E-3</v>
      </c>
      <c r="G212">
        <v>1.5E-3</v>
      </c>
      <c r="H212">
        <v>4.0000000000000002E-4</v>
      </c>
      <c r="I212">
        <v>2.24E-2</v>
      </c>
      <c r="J212">
        <v>0.2384</v>
      </c>
      <c r="K212">
        <v>5.4000000000000003E-3</v>
      </c>
      <c r="L212">
        <v>6.2899999999999998E-2</v>
      </c>
    </row>
    <row r="213" spans="1:12" x14ac:dyDescent="0.2">
      <c r="A213">
        <v>36</v>
      </c>
      <c r="B213" t="s">
        <v>103</v>
      </c>
      <c r="C213">
        <v>0.24160000000000001</v>
      </c>
      <c r="D213">
        <v>32</v>
      </c>
      <c r="E213">
        <v>1.7999999999999999E-2</v>
      </c>
      <c r="F213">
        <v>1E-3</v>
      </c>
      <c r="G213">
        <v>2.7000000000000001E-3</v>
      </c>
      <c r="H213">
        <v>2.9999999999999997E-4</v>
      </c>
      <c r="I213">
        <v>5.1799999999999999E-2</v>
      </c>
      <c r="J213">
        <v>0.4718</v>
      </c>
      <c r="K213">
        <v>5.0000000000000001E-3</v>
      </c>
      <c r="L213">
        <v>5.8200000000000002E-2</v>
      </c>
    </row>
    <row r="214" spans="1:12" x14ac:dyDescent="0.2">
      <c r="A214">
        <v>36</v>
      </c>
      <c r="B214" t="s">
        <v>103</v>
      </c>
      <c r="C214">
        <v>0.24160000000000001</v>
      </c>
      <c r="D214">
        <v>33</v>
      </c>
      <c r="E214">
        <v>8.0000000000000002E-3</v>
      </c>
      <c r="F214">
        <v>8.9999999999999998E-4</v>
      </c>
      <c r="G214">
        <v>8.9999999999999998E-4</v>
      </c>
      <c r="H214">
        <v>2.9999999999999997E-4</v>
      </c>
      <c r="I214">
        <v>2.4299999999999999E-2</v>
      </c>
      <c r="J214">
        <v>0.25590000000000002</v>
      </c>
      <c r="K214">
        <v>5.3E-3</v>
      </c>
      <c r="L214">
        <v>6.1499999999999999E-2</v>
      </c>
    </row>
    <row r="215" spans="1:12" x14ac:dyDescent="0.2">
      <c r="A215">
        <v>36</v>
      </c>
      <c r="B215" t="s">
        <v>103</v>
      </c>
      <c r="C215">
        <v>0.24160000000000001</v>
      </c>
      <c r="D215">
        <v>34</v>
      </c>
      <c r="E215">
        <v>1.6E-2</v>
      </c>
      <c r="F215">
        <v>8.0000000000000004E-4</v>
      </c>
      <c r="G215">
        <v>1.1999999999999999E-3</v>
      </c>
      <c r="H215">
        <v>2.0000000000000001E-4</v>
      </c>
      <c r="I215">
        <v>4.99E-2</v>
      </c>
      <c r="J215">
        <v>0.45910000000000001</v>
      </c>
      <c r="K215">
        <v>5.5999999999999999E-3</v>
      </c>
      <c r="L215">
        <v>6.54E-2</v>
      </c>
    </row>
    <row r="216" spans="1:12" x14ac:dyDescent="0.2">
      <c r="A216">
        <v>36</v>
      </c>
      <c r="B216" t="s">
        <v>103</v>
      </c>
      <c r="C216">
        <v>0.24160000000000001</v>
      </c>
      <c r="D216">
        <v>35</v>
      </c>
      <c r="E216">
        <v>1.4E-2</v>
      </c>
      <c r="F216">
        <v>6.9999999999999999E-4</v>
      </c>
      <c r="G216">
        <v>5.0000000000000001E-4</v>
      </c>
      <c r="H216">
        <v>2.0000000000000001E-4</v>
      </c>
      <c r="I216">
        <v>4.5900000000000003E-2</v>
      </c>
      <c r="J216">
        <v>0.43099999999999999</v>
      </c>
      <c r="K216">
        <v>6.7000000000000002E-3</v>
      </c>
      <c r="L216">
        <v>7.7100000000000002E-2</v>
      </c>
    </row>
    <row r="217" spans="1:12" x14ac:dyDescent="0.2">
      <c r="A217">
        <v>36</v>
      </c>
      <c r="B217" t="s">
        <v>103</v>
      </c>
      <c r="C217">
        <v>0.24160000000000001</v>
      </c>
      <c r="D217">
        <v>36</v>
      </c>
      <c r="E217">
        <v>0.01</v>
      </c>
      <c r="F217">
        <v>5.9999999999999995E-4</v>
      </c>
      <c r="G217">
        <v>0</v>
      </c>
      <c r="H217">
        <v>1E-4</v>
      </c>
      <c r="I217">
        <v>0</v>
      </c>
      <c r="J217">
        <v>0</v>
      </c>
      <c r="K217">
        <v>0.01</v>
      </c>
      <c r="L217">
        <v>0.1137</v>
      </c>
    </row>
    <row r="218" spans="1:12" x14ac:dyDescent="0.2">
      <c r="A218">
        <v>60</v>
      </c>
      <c r="B218" t="s">
        <v>50</v>
      </c>
      <c r="C218">
        <v>9.1700000000000004E-2</v>
      </c>
      <c r="D218">
        <v>1</v>
      </c>
      <c r="E218">
        <v>8.0000000000000002E-3</v>
      </c>
      <c r="F218">
        <v>0</v>
      </c>
      <c r="G218">
        <v>7.9000000000000008E-3</v>
      </c>
      <c r="H218">
        <v>0</v>
      </c>
      <c r="I218">
        <v>8.0000000000000002E-3</v>
      </c>
      <c r="J218">
        <v>9.1899999999999996E-2</v>
      </c>
      <c r="K218">
        <v>0</v>
      </c>
      <c r="L218">
        <v>0</v>
      </c>
    </row>
    <row r="219" spans="1:12" x14ac:dyDescent="0.2">
      <c r="A219">
        <v>60</v>
      </c>
      <c r="B219" t="s">
        <v>50</v>
      </c>
      <c r="C219">
        <v>9.1700000000000004E-2</v>
      </c>
      <c r="D219">
        <v>2</v>
      </c>
      <c r="E219">
        <v>0.01</v>
      </c>
      <c r="F219">
        <v>8.0000000000000004E-4</v>
      </c>
      <c r="G219">
        <v>9.7000000000000003E-3</v>
      </c>
      <c r="H219">
        <v>8.0000000000000004E-4</v>
      </c>
      <c r="I219">
        <v>1.01E-2</v>
      </c>
      <c r="J219">
        <v>0.1145</v>
      </c>
      <c r="K219">
        <v>8.0000000000000004E-4</v>
      </c>
      <c r="L219">
        <v>9.7999999999999997E-3</v>
      </c>
    </row>
    <row r="220" spans="1:12" x14ac:dyDescent="0.2">
      <c r="A220">
        <v>60</v>
      </c>
      <c r="B220" t="s">
        <v>50</v>
      </c>
      <c r="C220">
        <v>9.1700000000000004E-2</v>
      </c>
      <c r="D220">
        <v>3</v>
      </c>
      <c r="E220">
        <v>8.0000000000000002E-3</v>
      </c>
      <c r="F220">
        <v>6.1000000000000004E-3</v>
      </c>
      <c r="G220">
        <v>7.7000000000000002E-3</v>
      </c>
      <c r="H220">
        <v>6.1000000000000004E-3</v>
      </c>
      <c r="I220">
        <v>8.0999999999999996E-3</v>
      </c>
      <c r="J220">
        <v>9.35E-2</v>
      </c>
      <c r="K220">
        <v>6.4000000000000003E-3</v>
      </c>
      <c r="L220">
        <v>7.3999999999999996E-2</v>
      </c>
    </row>
    <row r="221" spans="1:12" x14ac:dyDescent="0.2">
      <c r="A221">
        <v>60</v>
      </c>
      <c r="B221" t="s">
        <v>50</v>
      </c>
      <c r="C221">
        <v>9.1700000000000004E-2</v>
      </c>
      <c r="D221">
        <v>4</v>
      </c>
      <c r="E221">
        <v>8.0000000000000002E-3</v>
      </c>
      <c r="F221">
        <v>5.4999999999999997E-3</v>
      </c>
      <c r="G221">
        <v>7.6E-3</v>
      </c>
      <c r="H221">
        <v>5.4999999999999997E-3</v>
      </c>
      <c r="I221">
        <v>8.3000000000000001E-3</v>
      </c>
      <c r="J221">
        <v>9.4799999999999995E-2</v>
      </c>
      <c r="K221">
        <v>5.8999999999999999E-3</v>
      </c>
      <c r="L221">
        <v>6.88E-2</v>
      </c>
    </row>
    <row r="222" spans="1:12" x14ac:dyDescent="0.2">
      <c r="A222">
        <v>60</v>
      </c>
      <c r="B222" t="s">
        <v>50</v>
      </c>
      <c r="C222">
        <v>9.1700000000000004E-2</v>
      </c>
      <c r="D222">
        <v>5</v>
      </c>
      <c r="E222">
        <v>0.01</v>
      </c>
      <c r="F222">
        <v>4.8999999999999998E-3</v>
      </c>
      <c r="G222">
        <v>9.2999999999999992E-3</v>
      </c>
      <c r="H222">
        <v>4.8999999999999998E-3</v>
      </c>
      <c r="I222">
        <v>1.0500000000000001E-2</v>
      </c>
      <c r="J222">
        <v>0.1188</v>
      </c>
      <c r="K222">
        <v>5.4000000000000003E-3</v>
      </c>
      <c r="L222">
        <v>6.3200000000000006E-2</v>
      </c>
    </row>
    <row r="223" spans="1:12" x14ac:dyDescent="0.2">
      <c r="A223">
        <v>60</v>
      </c>
      <c r="B223" t="s">
        <v>50</v>
      </c>
      <c r="C223">
        <v>9.1700000000000004E-2</v>
      </c>
      <c r="D223">
        <v>6</v>
      </c>
      <c r="E223">
        <v>4.0000000000000001E-3</v>
      </c>
      <c r="F223">
        <v>4.4000000000000003E-3</v>
      </c>
      <c r="G223">
        <v>3.7000000000000002E-3</v>
      </c>
      <c r="H223">
        <v>4.3E-3</v>
      </c>
      <c r="I223">
        <v>4.3E-3</v>
      </c>
      <c r="J223">
        <v>4.99E-2</v>
      </c>
      <c r="K223">
        <v>5.0000000000000001E-3</v>
      </c>
      <c r="L223">
        <v>5.79E-2</v>
      </c>
    </row>
    <row r="224" spans="1:12" x14ac:dyDescent="0.2">
      <c r="A224">
        <v>60</v>
      </c>
      <c r="B224" t="s">
        <v>50</v>
      </c>
      <c r="C224">
        <v>9.1700000000000004E-2</v>
      </c>
      <c r="D224">
        <v>7</v>
      </c>
      <c r="E224">
        <v>5.0000000000000001E-3</v>
      </c>
      <c r="F224">
        <v>3.8999999999999998E-3</v>
      </c>
      <c r="G224">
        <v>4.4999999999999997E-3</v>
      </c>
      <c r="H224">
        <v>3.8E-3</v>
      </c>
      <c r="I224">
        <v>5.4000000000000003E-3</v>
      </c>
      <c r="J224">
        <v>6.2600000000000003E-2</v>
      </c>
      <c r="K224">
        <v>4.4000000000000003E-3</v>
      </c>
      <c r="L224">
        <v>5.1999999999999998E-2</v>
      </c>
    </row>
    <row r="225" spans="1:12" x14ac:dyDescent="0.2">
      <c r="A225">
        <v>60</v>
      </c>
      <c r="B225" t="s">
        <v>50</v>
      </c>
      <c r="C225">
        <v>9.1700000000000004E-2</v>
      </c>
      <c r="D225">
        <v>8</v>
      </c>
      <c r="E225">
        <v>7.0000000000000001E-3</v>
      </c>
      <c r="F225">
        <v>3.5999999999999999E-3</v>
      </c>
      <c r="G225">
        <v>6.1999999999999998E-3</v>
      </c>
      <c r="H225">
        <v>3.5000000000000001E-3</v>
      </c>
      <c r="I225">
        <v>7.6E-3</v>
      </c>
      <c r="J225">
        <v>8.7400000000000005E-2</v>
      </c>
      <c r="K225">
        <v>4.1000000000000003E-3</v>
      </c>
      <c r="L225">
        <v>4.8599999999999997E-2</v>
      </c>
    </row>
    <row r="226" spans="1:12" x14ac:dyDescent="0.2">
      <c r="A226">
        <v>60</v>
      </c>
      <c r="B226" t="s">
        <v>50</v>
      </c>
      <c r="C226">
        <v>9.1700000000000004E-2</v>
      </c>
      <c r="D226">
        <v>9</v>
      </c>
      <c r="E226">
        <v>5.0000000000000001E-3</v>
      </c>
      <c r="F226">
        <v>3.3E-3</v>
      </c>
      <c r="G226">
        <v>4.4000000000000003E-3</v>
      </c>
      <c r="H226">
        <v>3.0999999999999999E-3</v>
      </c>
      <c r="I226">
        <v>5.4999999999999997E-3</v>
      </c>
      <c r="J226">
        <v>6.3899999999999998E-2</v>
      </c>
      <c r="K226">
        <v>3.8E-3</v>
      </c>
      <c r="L226">
        <v>4.5199999999999997E-2</v>
      </c>
    </row>
    <row r="227" spans="1:12" x14ac:dyDescent="0.2">
      <c r="A227">
        <v>60</v>
      </c>
      <c r="B227" t="s">
        <v>50</v>
      </c>
      <c r="C227">
        <v>9.1700000000000004E-2</v>
      </c>
      <c r="D227">
        <v>10</v>
      </c>
      <c r="E227">
        <v>8.0000000000000002E-3</v>
      </c>
      <c r="F227">
        <v>3.0000000000000001E-3</v>
      </c>
      <c r="G227">
        <v>6.8999999999999999E-3</v>
      </c>
      <c r="H227">
        <v>2.8E-3</v>
      </c>
      <c r="I227">
        <v>8.8999999999999999E-3</v>
      </c>
      <c r="J227">
        <v>0.1013</v>
      </c>
      <c r="K227">
        <v>3.5000000000000001E-3</v>
      </c>
      <c r="L227">
        <v>4.1599999999999998E-2</v>
      </c>
    </row>
    <row r="228" spans="1:12" x14ac:dyDescent="0.2">
      <c r="A228">
        <v>60</v>
      </c>
      <c r="B228" t="s">
        <v>50</v>
      </c>
      <c r="C228">
        <v>9.1700000000000004E-2</v>
      </c>
      <c r="D228">
        <v>11</v>
      </c>
      <c r="E228">
        <v>6.0000000000000001E-3</v>
      </c>
      <c r="F228">
        <v>2.8E-3</v>
      </c>
      <c r="G228">
        <v>5.1000000000000004E-3</v>
      </c>
      <c r="H228">
        <v>2.5999999999999999E-3</v>
      </c>
      <c r="I228">
        <v>6.7000000000000002E-3</v>
      </c>
      <c r="J228">
        <v>7.7799999999999994E-2</v>
      </c>
      <c r="K228">
        <v>3.3E-3</v>
      </c>
      <c r="L228">
        <v>3.9399999999999998E-2</v>
      </c>
    </row>
    <row r="229" spans="1:12" x14ac:dyDescent="0.2">
      <c r="A229">
        <v>60</v>
      </c>
      <c r="B229" t="s">
        <v>50</v>
      </c>
      <c r="C229">
        <v>9.1700000000000004E-2</v>
      </c>
      <c r="D229">
        <v>12</v>
      </c>
      <c r="E229">
        <v>5.0000000000000001E-3</v>
      </c>
      <c r="F229">
        <v>2.5999999999999999E-3</v>
      </c>
      <c r="G229">
        <v>4.1999999999999997E-3</v>
      </c>
      <c r="H229">
        <v>2.3999999999999998E-3</v>
      </c>
      <c r="I229">
        <v>5.7000000000000002E-3</v>
      </c>
      <c r="J229">
        <v>6.59E-2</v>
      </c>
      <c r="K229">
        <v>3.0999999999999999E-3</v>
      </c>
      <c r="L229">
        <v>3.6999999999999998E-2</v>
      </c>
    </row>
    <row r="230" spans="1:12" x14ac:dyDescent="0.2">
      <c r="A230">
        <v>60</v>
      </c>
      <c r="B230" t="s">
        <v>50</v>
      </c>
      <c r="C230">
        <v>9.1700000000000004E-2</v>
      </c>
      <c r="D230">
        <v>13</v>
      </c>
      <c r="E230">
        <v>8.0000000000000002E-3</v>
      </c>
      <c r="F230">
        <v>2.3999999999999998E-3</v>
      </c>
      <c r="G230">
        <v>6.6E-3</v>
      </c>
      <c r="H230">
        <v>2.0999999999999999E-3</v>
      </c>
      <c r="I230">
        <v>9.1000000000000004E-3</v>
      </c>
      <c r="J230">
        <v>0.1043</v>
      </c>
      <c r="K230">
        <v>2.8999999999999998E-3</v>
      </c>
      <c r="L230">
        <v>3.4599999999999999E-2</v>
      </c>
    </row>
    <row r="231" spans="1:12" x14ac:dyDescent="0.2">
      <c r="A231">
        <v>60</v>
      </c>
      <c r="B231" t="s">
        <v>50</v>
      </c>
      <c r="C231">
        <v>9.1700000000000004E-2</v>
      </c>
      <c r="D231">
        <v>14</v>
      </c>
      <c r="E231">
        <v>5.0000000000000001E-3</v>
      </c>
      <c r="F231">
        <v>2.3E-3</v>
      </c>
      <c r="G231">
        <v>4.0000000000000001E-3</v>
      </c>
      <c r="H231">
        <v>2E-3</v>
      </c>
      <c r="I231">
        <v>5.7999999999999996E-3</v>
      </c>
      <c r="J231">
        <v>6.7199999999999996E-2</v>
      </c>
      <c r="K231">
        <v>2.8E-3</v>
      </c>
      <c r="L231">
        <v>3.3599999999999998E-2</v>
      </c>
    </row>
    <row r="232" spans="1:12" x14ac:dyDescent="0.2">
      <c r="A232">
        <v>60</v>
      </c>
      <c r="B232" t="s">
        <v>50</v>
      </c>
      <c r="C232">
        <v>9.1700000000000004E-2</v>
      </c>
      <c r="D232">
        <v>15</v>
      </c>
      <c r="E232">
        <v>7.0000000000000001E-3</v>
      </c>
      <c r="F232">
        <v>2.2000000000000001E-3</v>
      </c>
      <c r="G232">
        <v>5.4999999999999997E-3</v>
      </c>
      <c r="H232">
        <v>1.9E-3</v>
      </c>
      <c r="I232">
        <v>8.2000000000000007E-3</v>
      </c>
      <c r="J232">
        <v>9.3700000000000006E-2</v>
      </c>
      <c r="K232">
        <v>2.7000000000000001E-3</v>
      </c>
      <c r="L232">
        <v>3.2500000000000001E-2</v>
      </c>
    </row>
    <row r="233" spans="1:12" x14ac:dyDescent="0.2">
      <c r="A233">
        <v>60</v>
      </c>
      <c r="B233" t="s">
        <v>50</v>
      </c>
      <c r="C233">
        <v>9.1700000000000004E-2</v>
      </c>
      <c r="D233">
        <v>16</v>
      </c>
      <c r="E233">
        <v>5.0000000000000001E-3</v>
      </c>
      <c r="F233">
        <v>2E-3</v>
      </c>
      <c r="G233">
        <v>3.8999999999999998E-3</v>
      </c>
      <c r="H233">
        <v>1.6999999999999999E-3</v>
      </c>
      <c r="I233">
        <v>5.8999999999999999E-3</v>
      </c>
      <c r="J233">
        <v>6.8500000000000005E-2</v>
      </c>
      <c r="K233">
        <v>2.5000000000000001E-3</v>
      </c>
      <c r="L233">
        <v>2.9899999999999999E-2</v>
      </c>
    </row>
    <row r="234" spans="1:12" x14ac:dyDescent="0.2">
      <c r="A234">
        <v>60</v>
      </c>
      <c r="B234" t="s">
        <v>50</v>
      </c>
      <c r="C234">
        <v>9.1700000000000004E-2</v>
      </c>
      <c r="D234">
        <v>17</v>
      </c>
      <c r="E234">
        <v>4.0000000000000001E-3</v>
      </c>
      <c r="F234">
        <v>1.9E-3</v>
      </c>
      <c r="G234">
        <v>3.0000000000000001E-3</v>
      </c>
      <c r="H234">
        <v>1.6000000000000001E-3</v>
      </c>
      <c r="I234">
        <v>4.7999999999999996E-3</v>
      </c>
      <c r="J234">
        <v>5.5599999999999997E-2</v>
      </c>
      <c r="K234">
        <v>2.3999999999999998E-3</v>
      </c>
      <c r="L234">
        <v>2.87E-2</v>
      </c>
    </row>
    <row r="235" spans="1:12" x14ac:dyDescent="0.2">
      <c r="A235">
        <v>60</v>
      </c>
      <c r="B235" t="s">
        <v>50</v>
      </c>
      <c r="C235">
        <v>9.1700000000000004E-2</v>
      </c>
      <c r="D235">
        <v>18</v>
      </c>
      <c r="E235">
        <v>8.9999999999999993E-3</v>
      </c>
      <c r="F235">
        <v>1.8E-3</v>
      </c>
      <c r="G235">
        <v>6.7000000000000002E-3</v>
      </c>
      <c r="H235">
        <v>1.5E-3</v>
      </c>
      <c r="I235">
        <v>1.0800000000000001E-2</v>
      </c>
      <c r="J235">
        <v>0.12189999999999999</v>
      </c>
      <c r="K235">
        <v>2.3E-3</v>
      </c>
      <c r="L235">
        <v>2.75E-2</v>
      </c>
    </row>
    <row r="236" spans="1:12" x14ac:dyDescent="0.2">
      <c r="A236">
        <v>60</v>
      </c>
      <c r="B236" t="s">
        <v>50</v>
      </c>
      <c r="C236">
        <v>9.1700000000000004E-2</v>
      </c>
      <c r="D236">
        <v>19</v>
      </c>
      <c r="E236">
        <v>4.0000000000000001E-3</v>
      </c>
      <c r="F236">
        <v>1.6999999999999999E-3</v>
      </c>
      <c r="G236">
        <v>2.8999999999999998E-3</v>
      </c>
      <c r="H236">
        <v>1.4E-3</v>
      </c>
      <c r="I236">
        <v>4.7999999999999996E-3</v>
      </c>
      <c r="J236">
        <v>5.67E-2</v>
      </c>
      <c r="K236">
        <v>2.2000000000000001E-3</v>
      </c>
      <c r="L236">
        <v>2.64E-2</v>
      </c>
    </row>
    <row r="237" spans="1:12" x14ac:dyDescent="0.2">
      <c r="A237">
        <v>60</v>
      </c>
      <c r="B237" t="s">
        <v>50</v>
      </c>
      <c r="C237">
        <v>9.1700000000000004E-2</v>
      </c>
      <c r="D237">
        <v>20</v>
      </c>
      <c r="E237">
        <v>8.0000000000000002E-3</v>
      </c>
      <c r="F237">
        <v>1.6999999999999999E-3</v>
      </c>
      <c r="G237">
        <v>5.7000000000000002E-3</v>
      </c>
      <c r="H237">
        <v>1.2999999999999999E-3</v>
      </c>
      <c r="I237">
        <v>9.7999999999999997E-3</v>
      </c>
      <c r="J237">
        <v>0.1111</v>
      </c>
      <c r="K237">
        <v>2.2000000000000001E-3</v>
      </c>
      <c r="L237">
        <v>2.6599999999999999E-2</v>
      </c>
    </row>
    <row r="238" spans="1:12" x14ac:dyDescent="0.2">
      <c r="A238">
        <v>60</v>
      </c>
      <c r="B238" t="s">
        <v>50</v>
      </c>
      <c r="C238">
        <v>9.1700000000000004E-2</v>
      </c>
      <c r="D238">
        <v>21</v>
      </c>
      <c r="E238">
        <v>7.0000000000000001E-3</v>
      </c>
      <c r="F238">
        <v>1.6000000000000001E-3</v>
      </c>
      <c r="G238">
        <v>4.8999999999999998E-3</v>
      </c>
      <c r="H238">
        <v>1.1999999999999999E-3</v>
      </c>
      <c r="I238">
        <v>8.6E-3</v>
      </c>
      <c r="J238">
        <v>9.9000000000000005E-2</v>
      </c>
      <c r="K238">
        <v>2.0999999999999999E-3</v>
      </c>
      <c r="L238">
        <v>2.5399999999999999E-2</v>
      </c>
    </row>
    <row r="239" spans="1:12" x14ac:dyDescent="0.2">
      <c r="A239">
        <v>60</v>
      </c>
      <c r="B239" t="s">
        <v>50</v>
      </c>
      <c r="C239">
        <v>9.1700000000000004E-2</v>
      </c>
      <c r="D239">
        <v>22</v>
      </c>
      <c r="E239">
        <v>5.0000000000000001E-3</v>
      </c>
      <c r="F239">
        <v>1.5E-3</v>
      </c>
      <c r="G239">
        <v>3.3999999999999998E-3</v>
      </c>
      <c r="H239">
        <v>1.1000000000000001E-3</v>
      </c>
      <c r="I239">
        <v>6.1999999999999998E-3</v>
      </c>
      <c r="J239">
        <v>7.2400000000000006E-2</v>
      </c>
      <c r="K239">
        <v>2E-3</v>
      </c>
      <c r="L239">
        <v>2.4199999999999999E-2</v>
      </c>
    </row>
    <row r="240" spans="1:12" x14ac:dyDescent="0.2">
      <c r="A240">
        <v>60</v>
      </c>
      <c r="B240" t="s">
        <v>50</v>
      </c>
      <c r="C240">
        <v>9.1700000000000004E-2</v>
      </c>
      <c r="D240">
        <v>23</v>
      </c>
      <c r="E240">
        <v>6.0000000000000001E-3</v>
      </c>
      <c r="F240">
        <v>1.5E-3</v>
      </c>
      <c r="G240">
        <v>4.0000000000000001E-3</v>
      </c>
      <c r="H240">
        <v>1.1000000000000001E-3</v>
      </c>
      <c r="I240">
        <v>7.6E-3</v>
      </c>
      <c r="J240">
        <v>8.6999999999999994E-2</v>
      </c>
      <c r="K240">
        <v>2.0999999999999999E-3</v>
      </c>
      <c r="L240">
        <v>2.4400000000000002E-2</v>
      </c>
    </row>
    <row r="241" spans="1:12" x14ac:dyDescent="0.2">
      <c r="A241">
        <v>60</v>
      </c>
      <c r="B241" t="s">
        <v>50</v>
      </c>
      <c r="C241">
        <v>9.1700000000000004E-2</v>
      </c>
      <c r="D241">
        <v>24</v>
      </c>
      <c r="E241">
        <v>0.01</v>
      </c>
      <c r="F241">
        <v>1.4E-3</v>
      </c>
      <c r="G241">
        <v>6.4999999999999997E-3</v>
      </c>
      <c r="H241">
        <v>1E-3</v>
      </c>
      <c r="I241">
        <v>1.2699999999999999E-2</v>
      </c>
      <c r="J241">
        <v>0.14230000000000001</v>
      </c>
      <c r="K241">
        <v>1.9E-3</v>
      </c>
      <c r="L241">
        <v>2.3099999999999999E-2</v>
      </c>
    </row>
    <row r="242" spans="1:12" x14ac:dyDescent="0.2">
      <c r="A242">
        <v>60</v>
      </c>
      <c r="B242" t="s">
        <v>50</v>
      </c>
      <c r="C242">
        <v>9.1700000000000004E-2</v>
      </c>
      <c r="D242">
        <v>25</v>
      </c>
      <c r="E242">
        <v>0.01</v>
      </c>
      <c r="F242">
        <v>1.2999999999999999E-3</v>
      </c>
      <c r="G242">
        <v>6.4000000000000003E-3</v>
      </c>
      <c r="H242">
        <v>8.9999999999999998E-4</v>
      </c>
      <c r="I242">
        <v>1.29E-2</v>
      </c>
      <c r="J242">
        <v>0.14419999999999999</v>
      </c>
      <c r="K242">
        <v>1.8E-3</v>
      </c>
      <c r="L242">
        <v>2.18E-2</v>
      </c>
    </row>
    <row r="243" spans="1:12" x14ac:dyDescent="0.2">
      <c r="A243">
        <v>60</v>
      </c>
      <c r="B243" t="s">
        <v>50</v>
      </c>
      <c r="C243">
        <v>9.1700000000000004E-2</v>
      </c>
      <c r="D243">
        <v>26</v>
      </c>
      <c r="E243">
        <v>5.0000000000000001E-3</v>
      </c>
      <c r="F243">
        <v>1.2999999999999999E-3</v>
      </c>
      <c r="G243">
        <v>3.0999999999999999E-3</v>
      </c>
      <c r="H243">
        <v>8.9999999999999998E-4</v>
      </c>
      <c r="I243">
        <v>6.4999999999999997E-3</v>
      </c>
      <c r="J243">
        <v>7.5800000000000006E-2</v>
      </c>
      <c r="K243">
        <v>1.9E-3</v>
      </c>
      <c r="L243">
        <v>2.2200000000000001E-2</v>
      </c>
    </row>
    <row r="244" spans="1:12" x14ac:dyDescent="0.2">
      <c r="A244">
        <v>60</v>
      </c>
      <c r="B244" t="s">
        <v>50</v>
      </c>
      <c r="C244">
        <v>9.1700000000000004E-2</v>
      </c>
      <c r="D244">
        <v>27</v>
      </c>
      <c r="E244">
        <v>8.9999999999999993E-3</v>
      </c>
      <c r="F244">
        <v>1.1999999999999999E-3</v>
      </c>
      <c r="G244">
        <v>5.4999999999999997E-3</v>
      </c>
      <c r="H244">
        <v>8.0000000000000004E-4</v>
      </c>
      <c r="I244">
        <v>1.1900000000000001E-2</v>
      </c>
      <c r="J244">
        <v>0.1336</v>
      </c>
      <c r="K244">
        <v>1.6999999999999999E-3</v>
      </c>
      <c r="L244">
        <v>2.07E-2</v>
      </c>
    </row>
    <row r="245" spans="1:12" x14ac:dyDescent="0.2">
      <c r="A245">
        <v>60</v>
      </c>
      <c r="B245" t="s">
        <v>50</v>
      </c>
      <c r="C245">
        <v>9.1700000000000004E-2</v>
      </c>
      <c r="D245">
        <v>28</v>
      </c>
      <c r="E245">
        <v>4.0000000000000001E-3</v>
      </c>
      <c r="F245">
        <v>1.1999999999999999E-3</v>
      </c>
      <c r="G245">
        <v>2.3999999999999998E-3</v>
      </c>
      <c r="H245">
        <v>8.0000000000000004E-4</v>
      </c>
      <c r="I245">
        <v>5.4000000000000003E-3</v>
      </c>
      <c r="J245">
        <v>6.2300000000000001E-2</v>
      </c>
      <c r="K245">
        <v>1.8E-3</v>
      </c>
      <c r="L245">
        <v>2.1100000000000001E-2</v>
      </c>
    </row>
    <row r="246" spans="1:12" x14ac:dyDescent="0.2">
      <c r="A246">
        <v>60</v>
      </c>
      <c r="B246" t="s">
        <v>50</v>
      </c>
      <c r="C246">
        <v>9.1700000000000004E-2</v>
      </c>
      <c r="D246">
        <v>29</v>
      </c>
      <c r="E246">
        <v>7.0000000000000001E-3</v>
      </c>
      <c r="F246">
        <v>1.1999999999999999E-3</v>
      </c>
      <c r="G246">
        <v>4.0000000000000001E-3</v>
      </c>
      <c r="H246">
        <v>8.0000000000000004E-4</v>
      </c>
      <c r="I246">
        <v>9.4000000000000004E-3</v>
      </c>
      <c r="J246">
        <v>0.1075</v>
      </c>
      <c r="K246">
        <v>1.8E-3</v>
      </c>
      <c r="L246">
        <v>2.1299999999999999E-2</v>
      </c>
    </row>
    <row r="247" spans="1:12" x14ac:dyDescent="0.2">
      <c r="A247">
        <v>60</v>
      </c>
      <c r="B247" t="s">
        <v>50</v>
      </c>
      <c r="C247">
        <v>9.1700000000000004E-2</v>
      </c>
      <c r="D247">
        <v>30</v>
      </c>
      <c r="E247">
        <v>4.0000000000000001E-3</v>
      </c>
      <c r="F247">
        <v>1.1000000000000001E-3</v>
      </c>
      <c r="G247">
        <v>2.2000000000000001E-3</v>
      </c>
      <c r="H247">
        <v>6.9999999999999999E-4</v>
      </c>
      <c r="I247">
        <v>5.4000000000000003E-3</v>
      </c>
      <c r="J247">
        <v>6.3500000000000001E-2</v>
      </c>
      <c r="K247">
        <v>1.6999999999999999E-3</v>
      </c>
      <c r="L247">
        <v>1.9800000000000002E-2</v>
      </c>
    </row>
    <row r="248" spans="1:12" x14ac:dyDescent="0.2">
      <c r="A248">
        <v>60</v>
      </c>
      <c r="B248" t="s">
        <v>50</v>
      </c>
      <c r="C248">
        <v>9.1700000000000004E-2</v>
      </c>
      <c r="D248">
        <v>31</v>
      </c>
      <c r="E248">
        <v>0.01</v>
      </c>
      <c r="F248">
        <v>1.1000000000000001E-3</v>
      </c>
      <c r="G248">
        <v>5.4000000000000003E-3</v>
      </c>
      <c r="H248">
        <v>6.9999999999999999E-4</v>
      </c>
      <c r="I248">
        <v>1.37E-2</v>
      </c>
      <c r="J248">
        <v>0.1527</v>
      </c>
      <c r="K248">
        <v>1.6999999999999999E-3</v>
      </c>
      <c r="L248">
        <v>0.02</v>
      </c>
    </row>
    <row r="249" spans="1:12" x14ac:dyDescent="0.2">
      <c r="A249">
        <v>60</v>
      </c>
      <c r="B249" t="s">
        <v>50</v>
      </c>
      <c r="C249">
        <v>9.1700000000000004E-2</v>
      </c>
      <c r="D249">
        <v>32</v>
      </c>
      <c r="E249">
        <v>4.0000000000000001E-3</v>
      </c>
      <c r="F249">
        <v>1E-3</v>
      </c>
      <c r="G249">
        <v>2.0999999999999999E-3</v>
      </c>
      <c r="H249">
        <v>5.9999999999999995E-4</v>
      </c>
      <c r="I249">
        <v>5.5999999999999999E-3</v>
      </c>
      <c r="J249">
        <v>6.4799999999999996E-2</v>
      </c>
      <c r="K249">
        <v>1.6000000000000001E-3</v>
      </c>
      <c r="L249">
        <v>1.8599999999999998E-2</v>
      </c>
    </row>
    <row r="250" spans="1:12" x14ac:dyDescent="0.2">
      <c r="A250">
        <v>60</v>
      </c>
      <c r="B250" t="s">
        <v>50</v>
      </c>
      <c r="C250">
        <v>9.1700000000000004E-2</v>
      </c>
      <c r="D250">
        <v>33</v>
      </c>
      <c r="E250">
        <v>8.0000000000000002E-3</v>
      </c>
      <c r="F250">
        <v>1E-3</v>
      </c>
      <c r="G250">
        <v>4.1000000000000003E-3</v>
      </c>
      <c r="H250">
        <v>5.9999999999999995E-4</v>
      </c>
      <c r="I250">
        <v>1.12E-2</v>
      </c>
      <c r="J250">
        <v>0.12659999999999999</v>
      </c>
      <c r="K250">
        <v>1.6000000000000001E-3</v>
      </c>
      <c r="L250">
        <v>1.8800000000000001E-2</v>
      </c>
    </row>
    <row r="251" spans="1:12" x14ac:dyDescent="0.2">
      <c r="A251">
        <v>60</v>
      </c>
      <c r="B251" t="s">
        <v>50</v>
      </c>
      <c r="C251">
        <v>9.1700000000000004E-2</v>
      </c>
      <c r="D251">
        <v>34</v>
      </c>
      <c r="E251">
        <v>8.9999999999999993E-3</v>
      </c>
      <c r="F251">
        <v>1E-3</v>
      </c>
      <c r="G251">
        <v>4.4000000000000003E-3</v>
      </c>
      <c r="H251">
        <v>5.9999999999999995E-4</v>
      </c>
      <c r="I251">
        <v>1.2800000000000001E-2</v>
      </c>
      <c r="J251">
        <v>0.1431</v>
      </c>
      <c r="K251">
        <v>1.6000000000000001E-3</v>
      </c>
      <c r="L251">
        <v>1.9099999999999999E-2</v>
      </c>
    </row>
    <row r="252" spans="1:12" x14ac:dyDescent="0.2">
      <c r="A252">
        <v>60</v>
      </c>
      <c r="B252" t="s">
        <v>50</v>
      </c>
      <c r="C252">
        <v>9.1700000000000004E-2</v>
      </c>
      <c r="D252">
        <v>35</v>
      </c>
      <c r="E252">
        <v>6.0000000000000001E-3</v>
      </c>
      <c r="F252">
        <v>8.9999999999999998E-4</v>
      </c>
      <c r="G252">
        <v>2.8E-3</v>
      </c>
      <c r="H252">
        <v>5.0000000000000001E-4</v>
      </c>
      <c r="I252">
        <v>8.6E-3</v>
      </c>
      <c r="J252">
        <v>9.8900000000000002E-2</v>
      </c>
      <c r="K252">
        <v>1.5E-3</v>
      </c>
      <c r="L252">
        <v>1.7600000000000001E-2</v>
      </c>
    </row>
    <row r="253" spans="1:12" x14ac:dyDescent="0.2">
      <c r="A253">
        <v>60</v>
      </c>
      <c r="B253" t="s">
        <v>50</v>
      </c>
      <c r="C253">
        <v>9.1700000000000004E-2</v>
      </c>
      <c r="D253">
        <v>36</v>
      </c>
      <c r="E253">
        <v>6.0000000000000001E-3</v>
      </c>
      <c r="F253">
        <v>8.9999999999999998E-4</v>
      </c>
      <c r="G253">
        <v>2.7000000000000001E-3</v>
      </c>
      <c r="H253">
        <v>5.0000000000000001E-4</v>
      </c>
      <c r="I253">
        <v>8.6999999999999994E-3</v>
      </c>
      <c r="J253">
        <v>9.9900000000000003E-2</v>
      </c>
      <c r="K253">
        <v>1.5E-3</v>
      </c>
      <c r="L253">
        <v>1.78E-2</v>
      </c>
    </row>
    <row r="254" spans="1:12" x14ac:dyDescent="0.2">
      <c r="A254">
        <v>60</v>
      </c>
      <c r="B254" t="s">
        <v>50</v>
      </c>
      <c r="C254">
        <v>9.1700000000000004E-2</v>
      </c>
      <c r="D254">
        <v>37</v>
      </c>
      <c r="E254">
        <v>7.0000000000000001E-3</v>
      </c>
      <c r="F254">
        <v>8.9999999999999998E-4</v>
      </c>
      <c r="G254">
        <v>3.0999999999999999E-3</v>
      </c>
      <c r="H254">
        <v>5.0000000000000001E-4</v>
      </c>
      <c r="I254">
        <v>1.03E-2</v>
      </c>
      <c r="J254">
        <v>0.1167</v>
      </c>
      <c r="K254">
        <v>1.5E-3</v>
      </c>
      <c r="L254">
        <v>1.8100000000000002E-2</v>
      </c>
    </row>
    <row r="255" spans="1:12" x14ac:dyDescent="0.2">
      <c r="A255">
        <v>60</v>
      </c>
      <c r="B255" t="s">
        <v>50</v>
      </c>
      <c r="C255">
        <v>9.1700000000000004E-2</v>
      </c>
      <c r="D255">
        <v>38</v>
      </c>
      <c r="E255">
        <v>5.0000000000000001E-3</v>
      </c>
      <c r="F255">
        <v>8.9999999999999998E-4</v>
      </c>
      <c r="G255">
        <v>2.0999999999999999E-3</v>
      </c>
      <c r="H255">
        <v>5.0000000000000001E-4</v>
      </c>
      <c r="I255">
        <v>7.4000000000000003E-3</v>
      </c>
      <c r="J255">
        <v>8.5699999999999998E-2</v>
      </c>
      <c r="K255">
        <v>1.5E-3</v>
      </c>
      <c r="L255">
        <v>1.84E-2</v>
      </c>
    </row>
    <row r="256" spans="1:12" x14ac:dyDescent="0.2">
      <c r="A256">
        <v>60</v>
      </c>
      <c r="B256" t="s">
        <v>50</v>
      </c>
      <c r="C256">
        <v>9.1700000000000004E-2</v>
      </c>
      <c r="D256">
        <v>39</v>
      </c>
      <c r="E256">
        <v>4.0000000000000001E-3</v>
      </c>
      <c r="F256">
        <v>8.0000000000000004E-4</v>
      </c>
      <c r="G256">
        <v>1.6000000000000001E-3</v>
      </c>
      <c r="H256">
        <v>4.0000000000000002E-4</v>
      </c>
      <c r="I256">
        <v>6.0000000000000001E-3</v>
      </c>
      <c r="J256">
        <v>6.9699999999999998E-2</v>
      </c>
      <c r="K256">
        <v>1.4E-3</v>
      </c>
      <c r="L256">
        <v>1.66E-2</v>
      </c>
    </row>
    <row r="257" spans="1:12" x14ac:dyDescent="0.2">
      <c r="A257">
        <v>60</v>
      </c>
      <c r="B257" t="s">
        <v>50</v>
      </c>
      <c r="C257">
        <v>9.1700000000000004E-2</v>
      </c>
      <c r="D257">
        <v>40</v>
      </c>
      <c r="E257">
        <v>8.9999999999999993E-3</v>
      </c>
      <c r="F257">
        <v>8.0000000000000004E-4</v>
      </c>
      <c r="G257">
        <v>3.5000000000000001E-3</v>
      </c>
      <c r="H257">
        <v>4.0000000000000002E-4</v>
      </c>
      <c r="I257">
        <v>1.3599999999999999E-2</v>
      </c>
      <c r="J257">
        <v>0.15160000000000001</v>
      </c>
      <c r="K257">
        <v>1.4E-3</v>
      </c>
      <c r="L257">
        <v>1.6899999999999998E-2</v>
      </c>
    </row>
    <row r="258" spans="1:12" x14ac:dyDescent="0.2">
      <c r="A258">
        <v>60</v>
      </c>
      <c r="B258" t="s">
        <v>50</v>
      </c>
      <c r="C258">
        <v>9.1700000000000004E-2</v>
      </c>
      <c r="D258">
        <v>41</v>
      </c>
      <c r="E258">
        <v>4.0000000000000001E-3</v>
      </c>
      <c r="F258">
        <v>8.0000000000000004E-4</v>
      </c>
      <c r="G258">
        <v>1.5E-3</v>
      </c>
      <c r="H258">
        <v>4.0000000000000002E-4</v>
      </c>
      <c r="I258">
        <v>6.1000000000000004E-3</v>
      </c>
      <c r="J258">
        <v>7.1199999999999999E-2</v>
      </c>
      <c r="K258">
        <v>1.5E-3</v>
      </c>
      <c r="L258">
        <v>1.7299999999999999E-2</v>
      </c>
    </row>
    <row r="259" spans="1:12" x14ac:dyDescent="0.2">
      <c r="A259">
        <v>60</v>
      </c>
      <c r="B259" t="s">
        <v>50</v>
      </c>
      <c r="C259">
        <v>9.1700000000000004E-2</v>
      </c>
      <c r="D259">
        <v>42</v>
      </c>
      <c r="E259">
        <v>8.0000000000000002E-3</v>
      </c>
      <c r="F259">
        <v>8.0000000000000004E-4</v>
      </c>
      <c r="G259">
        <v>2.8E-3</v>
      </c>
      <c r="H259">
        <v>4.0000000000000002E-4</v>
      </c>
      <c r="I259">
        <v>1.24E-2</v>
      </c>
      <c r="J259">
        <v>0.13869999999999999</v>
      </c>
      <c r="K259">
        <v>1.5E-3</v>
      </c>
      <c r="L259">
        <v>1.7600000000000001E-2</v>
      </c>
    </row>
    <row r="260" spans="1:12" x14ac:dyDescent="0.2">
      <c r="A260">
        <v>60</v>
      </c>
      <c r="B260" t="s">
        <v>50</v>
      </c>
      <c r="C260">
        <v>9.1700000000000004E-2</v>
      </c>
      <c r="D260">
        <v>43</v>
      </c>
      <c r="E260">
        <v>7.0000000000000001E-3</v>
      </c>
      <c r="F260">
        <v>6.9999999999999999E-4</v>
      </c>
      <c r="G260">
        <v>2.3E-3</v>
      </c>
      <c r="H260">
        <v>2.9999999999999997E-4</v>
      </c>
      <c r="I260">
        <v>1.0999999999999999E-2</v>
      </c>
      <c r="J260">
        <v>0.1239</v>
      </c>
      <c r="K260">
        <v>1.2999999999999999E-3</v>
      </c>
      <c r="L260">
        <v>1.5699999999999999E-2</v>
      </c>
    </row>
    <row r="261" spans="1:12" x14ac:dyDescent="0.2">
      <c r="A261">
        <v>60</v>
      </c>
      <c r="B261" t="s">
        <v>50</v>
      </c>
      <c r="C261">
        <v>9.1700000000000004E-2</v>
      </c>
      <c r="D261">
        <v>44</v>
      </c>
      <c r="E261">
        <v>5.0000000000000001E-3</v>
      </c>
      <c r="F261">
        <v>6.9999999999999999E-4</v>
      </c>
      <c r="G261">
        <v>1.6000000000000001E-3</v>
      </c>
      <c r="H261">
        <v>2.9999999999999997E-4</v>
      </c>
      <c r="I261">
        <v>7.9000000000000008E-3</v>
      </c>
      <c r="J261">
        <v>9.11E-2</v>
      </c>
      <c r="K261">
        <v>1.4E-3</v>
      </c>
      <c r="L261">
        <v>1.61E-2</v>
      </c>
    </row>
    <row r="262" spans="1:12" x14ac:dyDescent="0.2">
      <c r="A262">
        <v>60</v>
      </c>
      <c r="B262" t="s">
        <v>50</v>
      </c>
      <c r="C262">
        <v>9.1700000000000004E-2</v>
      </c>
      <c r="D262">
        <v>45</v>
      </c>
      <c r="E262">
        <v>6.0000000000000001E-3</v>
      </c>
      <c r="F262">
        <v>6.9999999999999999E-4</v>
      </c>
      <c r="G262">
        <v>1.8E-3</v>
      </c>
      <c r="H262">
        <v>2.9999999999999997E-4</v>
      </c>
      <c r="I262">
        <v>9.5999999999999992E-3</v>
      </c>
      <c r="J262">
        <v>0.10929999999999999</v>
      </c>
      <c r="K262">
        <v>1.4E-3</v>
      </c>
      <c r="L262">
        <v>1.6400000000000001E-2</v>
      </c>
    </row>
    <row r="263" spans="1:12" x14ac:dyDescent="0.2">
      <c r="A263">
        <v>60</v>
      </c>
      <c r="B263" t="s">
        <v>50</v>
      </c>
      <c r="C263">
        <v>9.1700000000000004E-2</v>
      </c>
      <c r="D263">
        <v>46</v>
      </c>
      <c r="E263">
        <v>0.01</v>
      </c>
      <c r="F263">
        <v>6.9999999999999999E-4</v>
      </c>
      <c r="G263">
        <v>2.8E-3</v>
      </c>
      <c r="H263">
        <v>2.9999999999999997E-4</v>
      </c>
      <c r="I263">
        <v>1.6199999999999999E-2</v>
      </c>
      <c r="J263">
        <v>0.1777</v>
      </c>
      <c r="K263">
        <v>1.4E-3</v>
      </c>
      <c r="L263">
        <v>1.6799999999999999E-2</v>
      </c>
    </row>
    <row r="264" spans="1:12" x14ac:dyDescent="0.2">
      <c r="A264">
        <v>60</v>
      </c>
      <c r="B264" t="s">
        <v>50</v>
      </c>
      <c r="C264">
        <v>9.1700000000000004E-2</v>
      </c>
      <c r="D264">
        <v>47</v>
      </c>
      <c r="E264">
        <v>0.01</v>
      </c>
      <c r="F264">
        <v>6.9999999999999999E-4</v>
      </c>
      <c r="G264">
        <v>2.5999999999999999E-3</v>
      </c>
      <c r="H264">
        <v>2.0000000000000001E-4</v>
      </c>
      <c r="I264">
        <v>1.6500000000000001E-2</v>
      </c>
      <c r="J264">
        <v>0.18060000000000001</v>
      </c>
      <c r="K264">
        <v>1.5E-3</v>
      </c>
      <c r="L264">
        <v>1.7399999999999999E-2</v>
      </c>
    </row>
    <row r="265" spans="1:12" x14ac:dyDescent="0.2">
      <c r="A265">
        <v>60</v>
      </c>
      <c r="B265" t="s">
        <v>50</v>
      </c>
      <c r="C265">
        <v>9.1700000000000004E-2</v>
      </c>
      <c r="D265">
        <v>48</v>
      </c>
      <c r="E265">
        <v>5.0000000000000001E-3</v>
      </c>
      <c r="F265">
        <v>6.9999999999999999E-4</v>
      </c>
      <c r="G265">
        <v>1.1999999999999999E-3</v>
      </c>
      <c r="H265">
        <v>2.0000000000000001E-4</v>
      </c>
      <c r="I265">
        <v>8.3999999999999995E-3</v>
      </c>
      <c r="J265">
        <v>9.6000000000000002E-2</v>
      </c>
      <c r="K265">
        <v>1.5E-3</v>
      </c>
      <c r="L265">
        <v>1.7999999999999999E-2</v>
      </c>
    </row>
    <row r="266" spans="1:12" x14ac:dyDescent="0.2">
      <c r="A266">
        <v>60</v>
      </c>
      <c r="B266" t="s">
        <v>50</v>
      </c>
      <c r="C266">
        <v>9.1700000000000004E-2</v>
      </c>
      <c r="D266">
        <v>49</v>
      </c>
      <c r="E266">
        <v>8.9999999999999993E-3</v>
      </c>
      <c r="F266">
        <v>5.9999999999999995E-4</v>
      </c>
      <c r="G266">
        <v>2E-3</v>
      </c>
      <c r="H266">
        <v>2.0000000000000001E-4</v>
      </c>
      <c r="I266">
        <v>1.52E-2</v>
      </c>
      <c r="J266">
        <v>0.1681</v>
      </c>
      <c r="K266">
        <v>1.2999999999999999E-3</v>
      </c>
      <c r="L266">
        <v>1.5900000000000001E-2</v>
      </c>
    </row>
    <row r="267" spans="1:12" x14ac:dyDescent="0.2">
      <c r="A267">
        <v>60</v>
      </c>
      <c r="B267" t="s">
        <v>50</v>
      </c>
      <c r="C267">
        <v>9.1700000000000004E-2</v>
      </c>
      <c r="D267">
        <v>50</v>
      </c>
      <c r="E267">
        <v>4.0000000000000001E-3</v>
      </c>
      <c r="F267">
        <v>5.9999999999999995E-4</v>
      </c>
      <c r="G267">
        <v>8.0000000000000004E-4</v>
      </c>
      <c r="H267">
        <v>2.0000000000000001E-4</v>
      </c>
      <c r="I267">
        <v>6.8999999999999999E-3</v>
      </c>
      <c r="J267">
        <v>7.9500000000000001E-2</v>
      </c>
      <c r="K267">
        <v>1.4E-3</v>
      </c>
      <c r="L267">
        <v>1.6500000000000001E-2</v>
      </c>
    </row>
    <row r="268" spans="1:12" x14ac:dyDescent="0.2">
      <c r="A268">
        <v>60</v>
      </c>
      <c r="B268" t="s">
        <v>50</v>
      </c>
      <c r="C268">
        <v>9.1700000000000004E-2</v>
      </c>
      <c r="D268">
        <v>51</v>
      </c>
      <c r="E268">
        <v>7.0000000000000001E-3</v>
      </c>
      <c r="F268">
        <v>5.9999999999999995E-4</v>
      </c>
      <c r="G268">
        <v>1.2999999999999999E-3</v>
      </c>
      <c r="H268">
        <v>2.0000000000000001E-4</v>
      </c>
      <c r="I268">
        <v>1.21E-2</v>
      </c>
      <c r="J268">
        <v>0.13619999999999999</v>
      </c>
      <c r="K268">
        <v>1.4E-3</v>
      </c>
      <c r="L268">
        <v>1.7100000000000001E-2</v>
      </c>
    </row>
    <row r="269" spans="1:12" x14ac:dyDescent="0.2">
      <c r="A269">
        <v>60</v>
      </c>
      <c r="B269" t="s">
        <v>50</v>
      </c>
      <c r="C269">
        <v>9.1700000000000004E-2</v>
      </c>
      <c r="D269">
        <v>52</v>
      </c>
      <c r="E269">
        <v>4.0000000000000001E-3</v>
      </c>
      <c r="F269">
        <v>5.9999999999999995E-4</v>
      </c>
      <c r="G269">
        <v>5.9999999999999995E-4</v>
      </c>
      <c r="H269">
        <v>2.0000000000000001E-4</v>
      </c>
      <c r="I269">
        <v>7.0000000000000001E-3</v>
      </c>
      <c r="J269">
        <v>8.1100000000000005E-2</v>
      </c>
      <c r="K269">
        <v>1.5E-3</v>
      </c>
      <c r="L269">
        <v>1.78E-2</v>
      </c>
    </row>
    <row r="270" spans="1:12" x14ac:dyDescent="0.2">
      <c r="A270">
        <v>60</v>
      </c>
      <c r="B270" t="s">
        <v>50</v>
      </c>
      <c r="C270">
        <v>9.1700000000000004E-2</v>
      </c>
      <c r="D270">
        <v>53</v>
      </c>
      <c r="E270">
        <v>0.01</v>
      </c>
      <c r="F270">
        <v>5.9999999999999995E-4</v>
      </c>
      <c r="G270">
        <v>1.4E-3</v>
      </c>
      <c r="H270">
        <v>1E-4</v>
      </c>
      <c r="I270">
        <v>1.77E-2</v>
      </c>
      <c r="J270">
        <v>0.19289999999999999</v>
      </c>
      <c r="K270">
        <v>1.6000000000000001E-3</v>
      </c>
      <c r="L270">
        <v>1.8700000000000001E-2</v>
      </c>
    </row>
    <row r="271" spans="1:12" x14ac:dyDescent="0.2">
      <c r="A271">
        <v>60</v>
      </c>
      <c r="B271" t="s">
        <v>50</v>
      </c>
      <c r="C271">
        <v>9.1700000000000004E-2</v>
      </c>
      <c r="D271">
        <v>54</v>
      </c>
      <c r="E271">
        <v>0.01</v>
      </c>
      <c r="F271">
        <v>5.9999999999999995E-4</v>
      </c>
      <c r="G271">
        <v>1.1999999999999999E-3</v>
      </c>
      <c r="H271">
        <v>1E-4</v>
      </c>
      <c r="I271">
        <v>1.7999999999999999E-2</v>
      </c>
      <c r="J271">
        <v>0.1961</v>
      </c>
      <c r="K271">
        <v>1.6999999999999999E-3</v>
      </c>
      <c r="L271">
        <v>1.9900000000000001E-2</v>
      </c>
    </row>
    <row r="272" spans="1:12" x14ac:dyDescent="0.2">
      <c r="A272">
        <v>60</v>
      </c>
      <c r="B272" t="s">
        <v>50</v>
      </c>
      <c r="C272">
        <v>9.1700000000000004E-2</v>
      </c>
      <c r="D272">
        <v>55</v>
      </c>
      <c r="E272">
        <v>5.0000000000000001E-3</v>
      </c>
      <c r="F272">
        <v>5.9999999999999995E-4</v>
      </c>
      <c r="G272">
        <v>5.0000000000000001E-4</v>
      </c>
      <c r="H272">
        <v>1E-4</v>
      </c>
      <c r="I272">
        <v>9.1999999999999998E-3</v>
      </c>
      <c r="J272">
        <v>0.1048</v>
      </c>
      <c r="K272">
        <v>1.8E-3</v>
      </c>
      <c r="L272">
        <v>2.1499999999999998E-2</v>
      </c>
    </row>
    <row r="273" spans="1:12" x14ac:dyDescent="0.2">
      <c r="A273">
        <v>60</v>
      </c>
      <c r="B273" t="s">
        <v>50</v>
      </c>
      <c r="C273">
        <v>9.1700000000000004E-2</v>
      </c>
      <c r="D273">
        <v>56</v>
      </c>
      <c r="E273">
        <v>8.9999999999999993E-3</v>
      </c>
      <c r="F273">
        <v>5.9999999999999995E-4</v>
      </c>
      <c r="G273">
        <v>6.9999999999999999E-4</v>
      </c>
      <c r="H273">
        <v>1E-4</v>
      </c>
      <c r="I273">
        <v>1.67E-2</v>
      </c>
      <c r="J273">
        <v>0.183</v>
      </c>
      <c r="K273">
        <v>2E-3</v>
      </c>
      <c r="L273">
        <v>2.3400000000000001E-2</v>
      </c>
    </row>
    <row r="274" spans="1:12" x14ac:dyDescent="0.2">
      <c r="A274">
        <v>60</v>
      </c>
      <c r="B274" t="s">
        <v>50</v>
      </c>
      <c r="C274">
        <v>9.1700000000000004E-2</v>
      </c>
      <c r="D274">
        <v>57</v>
      </c>
      <c r="E274">
        <v>4.0000000000000001E-3</v>
      </c>
      <c r="F274">
        <v>5.0000000000000001E-4</v>
      </c>
      <c r="G274">
        <v>2.0000000000000001E-4</v>
      </c>
      <c r="H274">
        <v>1E-4</v>
      </c>
      <c r="I274">
        <v>7.6E-3</v>
      </c>
      <c r="J274">
        <v>8.6999999999999994E-2</v>
      </c>
      <c r="K274">
        <v>1.9E-3</v>
      </c>
      <c r="L274">
        <v>2.2100000000000002E-2</v>
      </c>
    </row>
    <row r="275" spans="1:12" x14ac:dyDescent="0.2">
      <c r="A275">
        <v>60</v>
      </c>
      <c r="B275" t="s">
        <v>50</v>
      </c>
      <c r="C275">
        <v>9.1700000000000004E-2</v>
      </c>
      <c r="D275">
        <v>58</v>
      </c>
      <c r="E275">
        <v>7.0000000000000001E-3</v>
      </c>
      <c r="F275">
        <v>5.0000000000000001E-4</v>
      </c>
      <c r="G275">
        <v>2.9999999999999997E-4</v>
      </c>
      <c r="H275">
        <v>1E-4</v>
      </c>
      <c r="I275">
        <v>1.3299999999999999E-2</v>
      </c>
      <c r="J275">
        <v>0.14860000000000001</v>
      </c>
      <c r="K275">
        <v>2.2000000000000001E-3</v>
      </c>
      <c r="L275">
        <v>2.5999999999999999E-2</v>
      </c>
    </row>
    <row r="276" spans="1:12" x14ac:dyDescent="0.2">
      <c r="A276">
        <v>60</v>
      </c>
      <c r="B276" t="s">
        <v>50</v>
      </c>
      <c r="C276">
        <v>9.1700000000000004E-2</v>
      </c>
      <c r="D276">
        <v>59</v>
      </c>
      <c r="E276">
        <v>4.0000000000000001E-3</v>
      </c>
      <c r="F276">
        <v>5.0000000000000001E-4</v>
      </c>
      <c r="G276">
        <v>1E-4</v>
      </c>
      <c r="H276">
        <v>1E-4</v>
      </c>
      <c r="I276">
        <v>7.7000000000000002E-3</v>
      </c>
      <c r="J276">
        <v>8.8599999999999998E-2</v>
      </c>
      <c r="K276">
        <v>2.8999999999999998E-3</v>
      </c>
      <c r="L276">
        <v>3.3700000000000001E-2</v>
      </c>
    </row>
    <row r="277" spans="1:12" x14ac:dyDescent="0.2">
      <c r="A277">
        <v>60</v>
      </c>
      <c r="B277" t="s">
        <v>50</v>
      </c>
      <c r="C277">
        <v>9.1700000000000004E-2</v>
      </c>
      <c r="D277">
        <v>60</v>
      </c>
      <c r="E277">
        <v>0.01</v>
      </c>
      <c r="F277">
        <v>5.0000000000000001E-4</v>
      </c>
      <c r="G277">
        <v>0</v>
      </c>
      <c r="H277">
        <v>1E-4</v>
      </c>
      <c r="I277">
        <v>0</v>
      </c>
      <c r="J277">
        <v>0</v>
      </c>
      <c r="K277">
        <v>4.7999999999999996E-3</v>
      </c>
      <c r="L277">
        <v>5.6099999999999997E-2</v>
      </c>
    </row>
    <row r="278" spans="1:12" x14ac:dyDescent="0.2">
      <c r="A278">
        <v>60</v>
      </c>
      <c r="B278" t="s">
        <v>51</v>
      </c>
      <c r="C278">
        <v>0.12670000000000001</v>
      </c>
      <c r="D278">
        <v>1</v>
      </c>
      <c r="E278">
        <v>8.0000000000000002E-3</v>
      </c>
      <c r="F278">
        <v>0</v>
      </c>
      <c r="G278">
        <v>7.9000000000000008E-3</v>
      </c>
      <c r="H278">
        <v>0</v>
      </c>
      <c r="I278">
        <v>8.0000000000000002E-3</v>
      </c>
      <c r="J278">
        <v>9.1899999999999996E-2</v>
      </c>
      <c r="K278">
        <v>0</v>
      </c>
      <c r="L278">
        <v>0</v>
      </c>
    </row>
    <row r="279" spans="1:12" x14ac:dyDescent="0.2">
      <c r="A279">
        <v>60</v>
      </c>
      <c r="B279" t="s">
        <v>51</v>
      </c>
      <c r="C279">
        <v>0.12670000000000001</v>
      </c>
      <c r="D279">
        <v>2</v>
      </c>
      <c r="E279">
        <v>0.01</v>
      </c>
      <c r="F279">
        <v>0</v>
      </c>
      <c r="G279">
        <v>9.7999999999999997E-3</v>
      </c>
      <c r="H279">
        <v>0</v>
      </c>
      <c r="I279">
        <v>1.01E-2</v>
      </c>
      <c r="J279">
        <v>0.1144</v>
      </c>
      <c r="K279">
        <v>0</v>
      </c>
      <c r="L279">
        <v>0</v>
      </c>
    </row>
    <row r="280" spans="1:12" x14ac:dyDescent="0.2">
      <c r="A280">
        <v>60</v>
      </c>
      <c r="B280" t="s">
        <v>51</v>
      </c>
      <c r="C280">
        <v>0.12670000000000001</v>
      </c>
      <c r="D280">
        <v>3</v>
      </c>
      <c r="E280">
        <v>8.0000000000000002E-3</v>
      </c>
      <c r="F280">
        <v>1.37E-2</v>
      </c>
      <c r="G280">
        <v>7.7000000000000002E-3</v>
      </c>
      <c r="H280">
        <v>1.37E-2</v>
      </c>
      <c r="I280">
        <v>8.0999999999999996E-3</v>
      </c>
      <c r="J280">
        <v>9.3399999999999997E-2</v>
      </c>
      <c r="K280">
        <v>1.43E-2</v>
      </c>
      <c r="L280">
        <v>0.15859999999999999</v>
      </c>
    </row>
    <row r="281" spans="1:12" x14ac:dyDescent="0.2">
      <c r="A281">
        <v>60</v>
      </c>
      <c r="B281" t="s">
        <v>51</v>
      </c>
      <c r="C281">
        <v>0.12670000000000001</v>
      </c>
      <c r="D281">
        <v>4</v>
      </c>
      <c r="E281">
        <v>8.0000000000000002E-3</v>
      </c>
      <c r="F281">
        <v>9.1000000000000004E-3</v>
      </c>
      <c r="G281">
        <v>7.6E-3</v>
      </c>
      <c r="H281">
        <v>9.1000000000000004E-3</v>
      </c>
      <c r="I281">
        <v>8.3000000000000001E-3</v>
      </c>
      <c r="J281">
        <v>9.5399999999999999E-2</v>
      </c>
      <c r="K281">
        <v>9.7999999999999997E-3</v>
      </c>
      <c r="L281">
        <v>0.11169999999999999</v>
      </c>
    </row>
    <row r="282" spans="1:12" x14ac:dyDescent="0.2">
      <c r="A282">
        <v>60</v>
      </c>
      <c r="B282" t="s">
        <v>51</v>
      </c>
      <c r="C282">
        <v>0.12670000000000001</v>
      </c>
      <c r="D282">
        <v>5</v>
      </c>
      <c r="E282">
        <v>0.01</v>
      </c>
      <c r="F282">
        <v>6.8999999999999999E-3</v>
      </c>
      <c r="G282">
        <v>9.4000000000000004E-3</v>
      </c>
      <c r="H282">
        <v>6.8999999999999999E-3</v>
      </c>
      <c r="I282">
        <v>1.06E-2</v>
      </c>
      <c r="J282">
        <v>0.12</v>
      </c>
      <c r="K282">
        <v>7.7000000000000002E-3</v>
      </c>
      <c r="L282">
        <v>8.8400000000000006E-2</v>
      </c>
    </row>
    <row r="283" spans="1:12" x14ac:dyDescent="0.2">
      <c r="A283">
        <v>60</v>
      </c>
      <c r="B283" t="s">
        <v>51</v>
      </c>
      <c r="C283">
        <v>0.12670000000000001</v>
      </c>
      <c r="D283">
        <v>6</v>
      </c>
      <c r="E283">
        <v>4.0000000000000001E-3</v>
      </c>
      <c r="F283">
        <v>5.5999999999999999E-3</v>
      </c>
      <c r="G283">
        <v>3.7000000000000002E-3</v>
      </c>
      <c r="H283">
        <v>5.4999999999999997E-3</v>
      </c>
      <c r="I283">
        <v>4.3E-3</v>
      </c>
      <c r="J283">
        <v>5.0599999999999999E-2</v>
      </c>
      <c r="K283">
        <v>6.4000000000000003E-3</v>
      </c>
      <c r="L283">
        <v>7.3700000000000002E-2</v>
      </c>
    </row>
    <row r="284" spans="1:12" x14ac:dyDescent="0.2">
      <c r="A284">
        <v>60</v>
      </c>
      <c r="B284" t="s">
        <v>51</v>
      </c>
      <c r="C284">
        <v>0.12670000000000001</v>
      </c>
      <c r="D284">
        <v>7</v>
      </c>
      <c r="E284">
        <v>5.0000000000000001E-3</v>
      </c>
      <c r="F284">
        <v>4.7000000000000002E-3</v>
      </c>
      <c r="G284">
        <v>4.5999999999999999E-3</v>
      </c>
      <c r="H284">
        <v>4.5999999999999999E-3</v>
      </c>
      <c r="I284">
        <v>5.4999999999999997E-3</v>
      </c>
      <c r="J284">
        <v>6.3500000000000001E-2</v>
      </c>
      <c r="K284">
        <v>5.4000000000000003E-3</v>
      </c>
      <c r="L284">
        <v>6.2899999999999998E-2</v>
      </c>
    </row>
    <row r="285" spans="1:12" x14ac:dyDescent="0.2">
      <c r="A285">
        <v>60</v>
      </c>
      <c r="B285" t="s">
        <v>51</v>
      </c>
      <c r="C285">
        <v>0.12670000000000001</v>
      </c>
      <c r="D285">
        <v>8</v>
      </c>
      <c r="E285">
        <v>7.0000000000000001E-3</v>
      </c>
      <c r="F285">
        <v>4.1000000000000003E-3</v>
      </c>
      <c r="G285">
        <v>6.3E-3</v>
      </c>
      <c r="H285">
        <v>4.0000000000000001E-3</v>
      </c>
      <c r="I285">
        <v>7.7000000000000002E-3</v>
      </c>
      <c r="J285">
        <v>8.8700000000000001E-2</v>
      </c>
      <c r="K285">
        <v>4.7999999999999996E-3</v>
      </c>
      <c r="L285">
        <v>5.57E-2</v>
      </c>
    </row>
    <row r="286" spans="1:12" x14ac:dyDescent="0.2">
      <c r="A286">
        <v>60</v>
      </c>
      <c r="B286" t="s">
        <v>51</v>
      </c>
      <c r="C286">
        <v>0.12670000000000001</v>
      </c>
      <c r="D286">
        <v>9</v>
      </c>
      <c r="E286">
        <v>5.0000000000000001E-3</v>
      </c>
      <c r="F286">
        <v>3.5999999999999999E-3</v>
      </c>
      <c r="G286">
        <v>4.4000000000000003E-3</v>
      </c>
      <c r="H286">
        <v>3.3999999999999998E-3</v>
      </c>
      <c r="I286">
        <v>5.5999999999999999E-3</v>
      </c>
      <c r="J286">
        <v>6.4899999999999999E-2</v>
      </c>
      <c r="K286">
        <v>4.1999999999999997E-3</v>
      </c>
      <c r="L286">
        <v>4.9799999999999997E-2</v>
      </c>
    </row>
    <row r="287" spans="1:12" x14ac:dyDescent="0.2">
      <c r="A287">
        <v>60</v>
      </c>
      <c r="B287" t="s">
        <v>51</v>
      </c>
      <c r="C287">
        <v>0.12670000000000001</v>
      </c>
      <c r="D287">
        <v>10</v>
      </c>
      <c r="E287">
        <v>8.0000000000000002E-3</v>
      </c>
      <c r="F287">
        <v>3.2000000000000002E-3</v>
      </c>
      <c r="G287">
        <v>7.0000000000000001E-3</v>
      </c>
      <c r="H287">
        <v>3.0000000000000001E-3</v>
      </c>
      <c r="I287">
        <v>8.9999999999999993E-3</v>
      </c>
      <c r="J287">
        <v>0.10290000000000001</v>
      </c>
      <c r="K287">
        <v>3.8E-3</v>
      </c>
      <c r="L287">
        <v>4.48E-2</v>
      </c>
    </row>
    <row r="288" spans="1:12" x14ac:dyDescent="0.2">
      <c r="A288">
        <v>60</v>
      </c>
      <c r="B288" t="s">
        <v>51</v>
      </c>
      <c r="C288">
        <v>0.12670000000000001</v>
      </c>
      <c r="D288">
        <v>11</v>
      </c>
      <c r="E288">
        <v>6.0000000000000001E-3</v>
      </c>
      <c r="F288">
        <v>2.8999999999999998E-3</v>
      </c>
      <c r="G288">
        <v>5.1999999999999998E-3</v>
      </c>
      <c r="H288">
        <v>2.7000000000000001E-3</v>
      </c>
      <c r="I288">
        <v>6.7999999999999996E-3</v>
      </c>
      <c r="J288">
        <v>7.9100000000000004E-2</v>
      </c>
      <c r="K288">
        <v>3.5000000000000001E-3</v>
      </c>
      <c r="L288">
        <v>4.1300000000000003E-2</v>
      </c>
    </row>
    <row r="289" spans="1:12" x14ac:dyDescent="0.2">
      <c r="A289">
        <v>60</v>
      </c>
      <c r="B289" t="s">
        <v>51</v>
      </c>
      <c r="C289">
        <v>0.12670000000000001</v>
      </c>
      <c r="D289">
        <v>12</v>
      </c>
      <c r="E289">
        <v>5.0000000000000001E-3</v>
      </c>
      <c r="F289">
        <v>2.5999999999999999E-3</v>
      </c>
      <c r="G289">
        <v>4.1999999999999997E-3</v>
      </c>
      <c r="H289">
        <v>2.3999999999999998E-3</v>
      </c>
      <c r="I289">
        <v>5.7999999999999996E-3</v>
      </c>
      <c r="J289">
        <v>6.7000000000000004E-2</v>
      </c>
      <c r="K289">
        <v>3.2000000000000002E-3</v>
      </c>
      <c r="L289">
        <v>3.7499999999999999E-2</v>
      </c>
    </row>
    <row r="290" spans="1:12" x14ac:dyDescent="0.2">
      <c r="A290">
        <v>60</v>
      </c>
      <c r="B290" t="s">
        <v>51</v>
      </c>
      <c r="C290">
        <v>0.12670000000000001</v>
      </c>
      <c r="D290">
        <v>13</v>
      </c>
      <c r="E290">
        <v>8.0000000000000002E-3</v>
      </c>
      <c r="F290">
        <v>2.3999999999999998E-3</v>
      </c>
      <c r="G290">
        <v>6.7000000000000002E-3</v>
      </c>
      <c r="H290">
        <v>2.2000000000000001E-3</v>
      </c>
      <c r="I290">
        <v>9.2999999999999992E-3</v>
      </c>
      <c r="J290">
        <v>0.1061</v>
      </c>
      <c r="K290">
        <v>3.0000000000000001E-3</v>
      </c>
      <c r="L290">
        <v>3.5000000000000003E-2</v>
      </c>
    </row>
    <row r="291" spans="1:12" x14ac:dyDescent="0.2">
      <c r="A291">
        <v>60</v>
      </c>
      <c r="B291" t="s">
        <v>51</v>
      </c>
      <c r="C291">
        <v>0.12670000000000001</v>
      </c>
      <c r="D291">
        <v>14</v>
      </c>
      <c r="E291">
        <v>5.0000000000000001E-3</v>
      </c>
      <c r="F291">
        <v>2.2000000000000001E-3</v>
      </c>
      <c r="G291">
        <v>4.1000000000000003E-3</v>
      </c>
      <c r="H291">
        <v>2E-3</v>
      </c>
      <c r="I291">
        <v>5.8999999999999999E-3</v>
      </c>
      <c r="J291">
        <v>6.8400000000000002E-2</v>
      </c>
      <c r="K291">
        <v>2.8E-3</v>
      </c>
      <c r="L291">
        <v>3.2599999999999997E-2</v>
      </c>
    </row>
    <row r="292" spans="1:12" x14ac:dyDescent="0.2">
      <c r="A292">
        <v>60</v>
      </c>
      <c r="B292" t="s">
        <v>51</v>
      </c>
      <c r="C292">
        <v>0.12670000000000001</v>
      </c>
      <c r="D292">
        <v>15</v>
      </c>
      <c r="E292">
        <v>7.0000000000000001E-3</v>
      </c>
      <c r="F292">
        <v>2E-3</v>
      </c>
      <c r="G292">
        <v>5.5999999999999999E-3</v>
      </c>
      <c r="H292">
        <v>1.6999999999999999E-3</v>
      </c>
      <c r="I292">
        <v>8.3000000000000001E-3</v>
      </c>
      <c r="J292">
        <v>9.5299999999999996E-2</v>
      </c>
      <c r="K292">
        <v>2.5000000000000001E-3</v>
      </c>
      <c r="L292">
        <v>0.03</v>
      </c>
    </row>
    <row r="293" spans="1:12" x14ac:dyDescent="0.2">
      <c r="A293">
        <v>60</v>
      </c>
      <c r="B293" t="s">
        <v>51</v>
      </c>
      <c r="C293">
        <v>0.12670000000000001</v>
      </c>
      <c r="D293">
        <v>16</v>
      </c>
      <c r="E293">
        <v>5.0000000000000001E-3</v>
      </c>
      <c r="F293">
        <v>1.9E-3</v>
      </c>
      <c r="G293">
        <v>4.0000000000000001E-3</v>
      </c>
      <c r="H293">
        <v>1.6000000000000001E-3</v>
      </c>
      <c r="I293">
        <v>6.0000000000000001E-3</v>
      </c>
      <c r="J293">
        <v>6.9699999999999998E-2</v>
      </c>
      <c r="K293">
        <v>2.3999999999999998E-3</v>
      </c>
      <c r="L293">
        <v>2.8799999999999999E-2</v>
      </c>
    </row>
    <row r="294" spans="1:12" x14ac:dyDescent="0.2">
      <c r="A294">
        <v>60</v>
      </c>
      <c r="B294" t="s">
        <v>51</v>
      </c>
      <c r="C294">
        <v>0.12670000000000001</v>
      </c>
      <c r="D294">
        <v>17</v>
      </c>
      <c r="E294">
        <v>4.0000000000000001E-3</v>
      </c>
      <c r="F294">
        <v>1.8E-3</v>
      </c>
      <c r="G294">
        <v>3.0999999999999999E-3</v>
      </c>
      <c r="H294">
        <v>1.5E-3</v>
      </c>
      <c r="I294">
        <v>4.7999999999999996E-3</v>
      </c>
      <c r="J294">
        <v>5.6599999999999998E-2</v>
      </c>
      <c r="K294">
        <v>2.3E-3</v>
      </c>
      <c r="L294">
        <v>2.76E-2</v>
      </c>
    </row>
    <row r="295" spans="1:12" x14ac:dyDescent="0.2">
      <c r="A295">
        <v>60</v>
      </c>
      <c r="B295" t="s">
        <v>51</v>
      </c>
      <c r="C295">
        <v>0.12670000000000001</v>
      </c>
      <c r="D295">
        <v>18</v>
      </c>
      <c r="E295">
        <v>8.9999999999999993E-3</v>
      </c>
      <c r="F295">
        <v>1.6999999999999999E-3</v>
      </c>
      <c r="G295">
        <v>6.8999999999999999E-3</v>
      </c>
      <c r="H295">
        <v>1.4E-3</v>
      </c>
      <c r="I295">
        <v>1.0999999999999999E-2</v>
      </c>
      <c r="J295">
        <v>0.124</v>
      </c>
      <c r="K295">
        <v>2.2000000000000001E-3</v>
      </c>
      <c r="L295">
        <v>2.63E-2</v>
      </c>
    </row>
    <row r="296" spans="1:12" x14ac:dyDescent="0.2">
      <c r="A296">
        <v>60</v>
      </c>
      <c r="B296" t="s">
        <v>51</v>
      </c>
      <c r="C296">
        <v>0.12670000000000001</v>
      </c>
      <c r="D296">
        <v>19</v>
      </c>
      <c r="E296">
        <v>4.0000000000000001E-3</v>
      </c>
      <c r="F296">
        <v>1.6000000000000001E-3</v>
      </c>
      <c r="G296">
        <v>3.0000000000000001E-3</v>
      </c>
      <c r="H296">
        <v>1.2999999999999999E-3</v>
      </c>
      <c r="I296">
        <v>4.8999999999999998E-3</v>
      </c>
      <c r="J296">
        <v>5.7700000000000001E-2</v>
      </c>
      <c r="K296">
        <v>2.0999999999999999E-3</v>
      </c>
      <c r="L296">
        <v>2.52E-2</v>
      </c>
    </row>
    <row r="297" spans="1:12" x14ac:dyDescent="0.2">
      <c r="A297">
        <v>60</v>
      </c>
      <c r="B297" t="s">
        <v>51</v>
      </c>
      <c r="C297">
        <v>0.12670000000000001</v>
      </c>
      <c r="D297">
        <v>20</v>
      </c>
      <c r="E297">
        <v>8.0000000000000002E-3</v>
      </c>
      <c r="F297">
        <v>1.5E-3</v>
      </c>
      <c r="G297">
        <v>5.8999999999999999E-3</v>
      </c>
      <c r="H297">
        <v>1.1999999999999999E-3</v>
      </c>
      <c r="I297">
        <v>9.9000000000000008E-3</v>
      </c>
      <c r="J297">
        <v>0.113</v>
      </c>
      <c r="K297">
        <v>2E-3</v>
      </c>
      <c r="L297">
        <v>2.3800000000000002E-2</v>
      </c>
    </row>
    <row r="298" spans="1:12" x14ac:dyDescent="0.2">
      <c r="A298">
        <v>60</v>
      </c>
      <c r="B298" t="s">
        <v>51</v>
      </c>
      <c r="C298">
        <v>0.12670000000000001</v>
      </c>
      <c r="D298">
        <v>21</v>
      </c>
      <c r="E298">
        <v>7.0000000000000001E-3</v>
      </c>
      <c r="F298">
        <v>1.4E-3</v>
      </c>
      <c r="G298">
        <v>5.0000000000000001E-3</v>
      </c>
      <c r="H298">
        <v>1.1000000000000001E-3</v>
      </c>
      <c r="I298">
        <v>8.8000000000000005E-3</v>
      </c>
      <c r="J298">
        <v>0.1007</v>
      </c>
      <c r="K298">
        <v>1.9E-3</v>
      </c>
      <c r="L298">
        <v>2.2599999999999999E-2</v>
      </c>
    </row>
    <row r="299" spans="1:12" x14ac:dyDescent="0.2">
      <c r="A299">
        <v>60</v>
      </c>
      <c r="B299" t="s">
        <v>51</v>
      </c>
      <c r="C299">
        <v>0.12670000000000001</v>
      </c>
      <c r="D299">
        <v>22</v>
      </c>
      <c r="E299">
        <v>5.0000000000000001E-3</v>
      </c>
      <c r="F299">
        <v>1.2999999999999999E-3</v>
      </c>
      <c r="G299">
        <v>3.5000000000000001E-3</v>
      </c>
      <c r="H299">
        <v>1E-3</v>
      </c>
      <c r="I299">
        <v>6.4000000000000003E-3</v>
      </c>
      <c r="J299">
        <v>7.3700000000000002E-2</v>
      </c>
      <c r="K299">
        <v>1.8E-3</v>
      </c>
      <c r="L299">
        <v>2.12E-2</v>
      </c>
    </row>
    <row r="300" spans="1:12" x14ac:dyDescent="0.2">
      <c r="A300">
        <v>60</v>
      </c>
      <c r="B300" t="s">
        <v>51</v>
      </c>
      <c r="C300">
        <v>0.12670000000000001</v>
      </c>
      <c r="D300">
        <v>23</v>
      </c>
      <c r="E300">
        <v>6.0000000000000001E-3</v>
      </c>
      <c r="F300">
        <v>1.2999999999999999E-3</v>
      </c>
      <c r="G300">
        <v>4.1000000000000003E-3</v>
      </c>
      <c r="H300">
        <v>1E-3</v>
      </c>
      <c r="I300">
        <v>7.7000000000000002E-3</v>
      </c>
      <c r="J300">
        <v>8.8499999999999995E-2</v>
      </c>
      <c r="K300">
        <v>1.8E-3</v>
      </c>
      <c r="L300">
        <v>2.1499999999999998E-2</v>
      </c>
    </row>
    <row r="301" spans="1:12" x14ac:dyDescent="0.2">
      <c r="A301">
        <v>60</v>
      </c>
      <c r="B301" t="s">
        <v>51</v>
      </c>
      <c r="C301">
        <v>0.12670000000000001</v>
      </c>
      <c r="D301">
        <v>24</v>
      </c>
      <c r="E301">
        <v>0.01</v>
      </c>
      <c r="F301">
        <v>1.1999999999999999E-3</v>
      </c>
      <c r="G301">
        <v>6.7000000000000002E-3</v>
      </c>
      <c r="H301">
        <v>8.9999999999999998E-4</v>
      </c>
      <c r="I301">
        <v>1.29E-2</v>
      </c>
      <c r="J301">
        <v>0.1447</v>
      </c>
      <c r="K301">
        <v>1.6999999999999999E-3</v>
      </c>
      <c r="L301">
        <v>2.01E-2</v>
      </c>
    </row>
    <row r="302" spans="1:12" x14ac:dyDescent="0.2">
      <c r="A302">
        <v>60</v>
      </c>
      <c r="B302" t="s">
        <v>51</v>
      </c>
      <c r="C302">
        <v>0.12670000000000001</v>
      </c>
      <c r="D302">
        <v>25</v>
      </c>
      <c r="E302">
        <v>0.01</v>
      </c>
      <c r="F302">
        <v>1.1000000000000001E-3</v>
      </c>
      <c r="G302">
        <v>6.6E-3</v>
      </c>
      <c r="H302">
        <v>8.0000000000000004E-4</v>
      </c>
      <c r="I302">
        <v>1.3100000000000001E-2</v>
      </c>
      <c r="J302">
        <v>0.1467</v>
      </c>
      <c r="K302">
        <v>1.6000000000000001E-3</v>
      </c>
      <c r="L302">
        <v>1.8700000000000001E-2</v>
      </c>
    </row>
    <row r="303" spans="1:12" x14ac:dyDescent="0.2">
      <c r="A303">
        <v>60</v>
      </c>
      <c r="B303" t="s">
        <v>51</v>
      </c>
      <c r="C303">
        <v>0.12670000000000001</v>
      </c>
      <c r="D303">
        <v>26</v>
      </c>
      <c r="E303">
        <v>5.0000000000000001E-3</v>
      </c>
      <c r="F303">
        <v>1.1000000000000001E-3</v>
      </c>
      <c r="G303">
        <v>3.2000000000000002E-3</v>
      </c>
      <c r="H303">
        <v>8.0000000000000004E-4</v>
      </c>
      <c r="I303">
        <v>6.7000000000000002E-3</v>
      </c>
      <c r="J303">
        <v>7.7100000000000002E-2</v>
      </c>
      <c r="K303">
        <v>1.6000000000000001E-3</v>
      </c>
      <c r="L303">
        <v>1.9099999999999999E-2</v>
      </c>
    </row>
    <row r="304" spans="1:12" x14ac:dyDescent="0.2">
      <c r="A304">
        <v>60</v>
      </c>
      <c r="B304" t="s">
        <v>51</v>
      </c>
      <c r="C304">
        <v>0.12670000000000001</v>
      </c>
      <c r="D304">
        <v>27</v>
      </c>
      <c r="E304">
        <v>8.9999999999999993E-3</v>
      </c>
      <c r="F304">
        <v>1E-3</v>
      </c>
      <c r="G304">
        <v>5.5999999999999999E-3</v>
      </c>
      <c r="H304">
        <v>6.9999999999999999E-4</v>
      </c>
      <c r="I304">
        <v>1.21E-2</v>
      </c>
      <c r="J304">
        <v>0.1358</v>
      </c>
      <c r="K304">
        <v>1.5E-3</v>
      </c>
      <c r="L304">
        <v>1.7500000000000002E-2</v>
      </c>
    </row>
    <row r="305" spans="1:12" x14ac:dyDescent="0.2">
      <c r="A305">
        <v>60</v>
      </c>
      <c r="B305" t="s">
        <v>51</v>
      </c>
      <c r="C305">
        <v>0.12670000000000001</v>
      </c>
      <c r="D305">
        <v>28</v>
      </c>
      <c r="E305">
        <v>4.0000000000000001E-3</v>
      </c>
      <c r="F305">
        <v>1E-3</v>
      </c>
      <c r="G305">
        <v>2.3999999999999998E-3</v>
      </c>
      <c r="H305">
        <v>6.9999999999999999E-4</v>
      </c>
      <c r="I305">
        <v>5.4000000000000003E-3</v>
      </c>
      <c r="J305">
        <v>6.3399999999999998E-2</v>
      </c>
      <c r="K305">
        <v>1.5E-3</v>
      </c>
      <c r="L305">
        <v>1.78E-2</v>
      </c>
    </row>
    <row r="306" spans="1:12" x14ac:dyDescent="0.2">
      <c r="A306">
        <v>60</v>
      </c>
      <c r="B306" t="s">
        <v>51</v>
      </c>
      <c r="C306">
        <v>0.12670000000000001</v>
      </c>
      <c r="D306">
        <v>29</v>
      </c>
      <c r="E306">
        <v>7.0000000000000001E-3</v>
      </c>
      <c r="F306">
        <v>1E-3</v>
      </c>
      <c r="G306">
        <v>4.1999999999999997E-3</v>
      </c>
      <c r="H306">
        <v>6.9999999999999999E-4</v>
      </c>
      <c r="I306">
        <v>9.5999999999999992E-3</v>
      </c>
      <c r="J306">
        <v>0.10929999999999999</v>
      </c>
      <c r="K306">
        <v>1.5E-3</v>
      </c>
      <c r="L306">
        <v>1.7999999999999999E-2</v>
      </c>
    </row>
    <row r="307" spans="1:12" x14ac:dyDescent="0.2">
      <c r="A307">
        <v>60</v>
      </c>
      <c r="B307" t="s">
        <v>51</v>
      </c>
      <c r="C307">
        <v>0.12670000000000001</v>
      </c>
      <c r="D307">
        <v>30</v>
      </c>
      <c r="E307">
        <v>4.0000000000000001E-3</v>
      </c>
      <c r="F307">
        <v>8.9999999999999998E-4</v>
      </c>
      <c r="G307">
        <v>2.3E-3</v>
      </c>
      <c r="H307">
        <v>5.9999999999999995E-4</v>
      </c>
      <c r="I307">
        <v>5.4999999999999997E-3</v>
      </c>
      <c r="J307">
        <v>6.4500000000000002E-2</v>
      </c>
      <c r="K307">
        <v>1.4E-3</v>
      </c>
      <c r="L307">
        <v>1.6400000000000001E-2</v>
      </c>
    </row>
    <row r="308" spans="1:12" x14ac:dyDescent="0.2">
      <c r="A308">
        <v>60</v>
      </c>
      <c r="B308" t="s">
        <v>51</v>
      </c>
      <c r="C308">
        <v>0.12670000000000001</v>
      </c>
      <c r="D308">
        <v>31</v>
      </c>
      <c r="E308">
        <v>0.01</v>
      </c>
      <c r="F308">
        <v>8.9999999999999998E-4</v>
      </c>
      <c r="G308">
        <v>5.5999999999999999E-3</v>
      </c>
      <c r="H308">
        <v>5.9999999999999995E-4</v>
      </c>
      <c r="I308">
        <v>1.4E-2</v>
      </c>
      <c r="J308">
        <v>0.1552</v>
      </c>
      <c r="K308">
        <v>1.4E-3</v>
      </c>
      <c r="L308">
        <v>1.66E-2</v>
      </c>
    </row>
    <row r="309" spans="1:12" x14ac:dyDescent="0.2">
      <c r="A309">
        <v>60</v>
      </c>
      <c r="B309" t="s">
        <v>51</v>
      </c>
      <c r="C309">
        <v>0.12670000000000001</v>
      </c>
      <c r="D309">
        <v>32</v>
      </c>
      <c r="E309">
        <v>4.0000000000000001E-3</v>
      </c>
      <c r="F309">
        <v>8.9999999999999998E-4</v>
      </c>
      <c r="G309">
        <v>2.2000000000000001E-3</v>
      </c>
      <c r="H309">
        <v>5.9999999999999995E-4</v>
      </c>
      <c r="I309">
        <v>5.7000000000000002E-3</v>
      </c>
      <c r="J309">
        <v>6.6000000000000003E-2</v>
      </c>
      <c r="K309">
        <v>1.4E-3</v>
      </c>
      <c r="L309">
        <v>1.6899999999999998E-2</v>
      </c>
    </row>
    <row r="310" spans="1:12" x14ac:dyDescent="0.2">
      <c r="A310">
        <v>60</v>
      </c>
      <c r="B310" t="s">
        <v>51</v>
      </c>
      <c r="C310">
        <v>0.12670000000000001</v>
      </c>
      <c r="D310">
        <v>33</v>
      </c>
      <c r="E310">
        <v>8.0000000000000002E-3</v>
      </c>
      <c r="F310">
        <v>8.0000000000000004E-4</v>
      </c>
      <c r="G310">
        <v>4.1999999999999997E-3</v>
      </c>
      <c r="H310">
        <v>5.0000000000000001E-4</v>
      </c>
      <c r="I310">
        <v>1.14E-2</v>
      </c>
      <c r="J310">
        <v>0.12870000000000001</v>
      </c>
      <c r="K310">
        <v>1.2999999999999999E-3</v>
      </c>
      <c r="L310">
        <v>1.52E-2</v>
      </c>
    </row>
    <row r="311" spans="1:12" x14ac:dyDescent="0.2">
      <c r="A311">
        <v>60</v>
      </c>
      <c r="B311" t="s">
        <v>51</v>
      </c>
      <c r="C311">
        <v>0.12670000000000001</v>
      </c>
      <c r="D311">
        <v>34</v>
      </c>
      <c r="E311">
        <v>8.9999999999999993E-3</v>
      </c>
      <c r="F311">
        <v>8.0000000000000004E-4</v>
      </c>
      <c r="G311">
        <v>4.5999999999999999E-3</v>
      </c>
      <c r="H311">
        <v>5.0000000000000001E-4</v>
      </c>
      <c r="I311">
        <v>1.2999999999999999E-2</v>
      </c>
      <c r="J311">
        <v>0.1454</v>
      </c>
      <c r="K311">
        <v>1.2999999999999999E-3</v>
      </c>
      <c r="L311">
        <v>1.55E-2</v>
      </c>
    </row>
    <row r="312" spans="1:12" x14ac:dyDescent="0.2">
      <c r="A312">
        <v>60</v>
      </c>
      <c r="B312" t="s">
        <v>51</v>
      </c>
      <c r="C312">
        <v>0.12670000000000001</v>
      </c>
      <c r="D312">
        <v>35</v>
      </c>
      <c r="E312">
        <v>6.0000000000000001E-3</v>
      </c>
      <c r="F312">
        <v>8.0000000000000004E-4</v>
      </c>
      <c r="G312">
        <v>3.0000000000000001E-3</v>
      </c>
      <c r="H312">
        <v>5.0000000000000001E-4</v>
      </c>
      <c r="I312">
        <v>8.8000000000000005E-3</v>
      </c>
      <c r="J312">
        <v>0.10059999999999999</v>
      </c>
      <c r="K312">
        <v>1.2999999999999999E-3</v>
      </c>
      <c r="L312">
        <v>1.5800000000000002E-2</v>
      </c>
    </row>
    <row r="313" spans="1:12" x14ac:dyDescent="0.2">
      <c r="A313">
        <v>60</v>
      </c>
      <c r="B313" t="s">
        <v>51</v>
      </c>
      <c r="C313">
        <v>0.12670000000000001</v>
      </c>
      <c r="D313">
        <v>36</v>
      </c>
      <c r="E313">
        <v>6.0000000000000001E-3</v>
      </c>
      <c r="F313">
        <v>6.9999999999999999E-4</v>
      </c>
      <c r="G313">
        <v>2.8999999999999998E-3</v>
      </c>
      <c r="H313">
        <v>4.0000000000000002E-4</v>
      </c>
      <c r="I313">
        <v>8.8999999999999999E-3</v>
      </c>
      <c r="J313">
        <v>0.1016</v>
      </c>
      <c r="K313">
        <v>1.1999999999999999E-3</v>
      </c>
      <c r="L313">
        <v>1.41E-2</v>
      </c>
    </row>
    <row r="314" spans="1:12" x14ac:dyDescent="0.2">
      <c r="A314">
        <v>60</v>
      </c>
      <c r="B314" t="s">
        <v>51</v>
      </c>
      <c r="C314">
        <v>0.12670000000000001</v>
      </c>
      <c r="D314">
        <v>37</v>
      </c>
      <c r="E314">
        <v>7.0000000000000001E-3</v>
      </c>
      <c r="F314">
        <v>6.9999999999999999E-4</v>
      </c>
      <c r="G314">
        <v>3.2000000000000002E-3</v>
      </c>
      <c r="H314">
        <v>4.0000000000000002E-4</v>
      </c>
      <c r="I314">
        <v>1.0500000000000001E-2</v>
      </c>
      <c r="J314">
        <v>0.1187</v>
      </c>
      <c r="K314">
        <v>1.1999999999999999E-3</v>
      </c>
      <c r="L314">
        <v>1.43E-2</v>
      </c>
    </row>
    <row r="315" spans="1:12" x14ac:dyDescent="0.2">
      <c r="A315">
        <v>60</v>
      </c>
      <c r="B315" t="s">
        <v>51</v>
      </c>
      <c r="C315">
        <v>0.12670000000000001</v>
      </c>
      <c r="D315">
        <v>38</v>
      </c>
      <c r="E315">
        <v>5.0000000000000001E-3</v>
      </c>
      <c r="F315">
        <v>6.9999999999999999E-4</v>
      </c>
      <c r="G315">
        <v>2.2000000000000001E-3</v>
      </c>
      <c r="H315">
        <v>4.0000000000000002E-4</v>
      </c>
      <c r="I315">
        <v>7.6E-3</v>
      </c>
      <c r="J315">
        <v>8.7099999999999997E-2</v>
      </c>
      <c r="K315">
        <v>1.1999999999999999E-3</v>
      </c>
      <c r="L315">
        <v>1.4500000000000001E-2</v>
      </c>
    </row>
    <row r="316" spans="1:12" x14ac:dyDescent="0.2">
      <c r="A316">
        <v>60</v>
      </c>
      <c r="B316" t="s">
        <v>51</v>
      </c>
      <c r="C316">
        <v>0.12670000000000001</v>
      </c>
      <c r="D316">
        <v>39</v>
      </c>
      <c r="E316">
        <v>4.0000000000000001E-3</v>
      </c>
      <c r="F316">
        <v>6.9999999999999999E-4</v>
      </c>
      <c r="G316">
        <v>1.6999999999999999E-3</v>
      </c>
      <c r="H316">
        <v>4.0000000000000002E-4</v>
      </c>
      <c r="I316">
        <v>6.1000000000000004E-3</v>
      </c>
      <c r="J316">
        <v>7.0900000000000005E-2</v>
      </c>
      <c r="K316">
        <v>1.1999999999999999E-3</v>
      </c>
      <c r="L316">
        <v>1.47E-2</v>
      </c>
    </row>
    <row r="317" spans="1:12" x14ac:dyDescent="0.2">
      <c r="A317">
        <v>60</v>
      </c>
      <c r="B317" t="s">
        <v>51</v>
      </c>
      <c r="C317">
        <v>0.12670000000000001</v>
      </c>
      <c r="D317">
        <v>40</v>
      </c>
      <c r="E317">
        <v>8.9999999999999993E-3</v>
      </c>
      <c r="F317">
        <v>6.9999999999999999E-4</v>
      </c>
      <c r="G317">
        <v>3.5999999999999999E-3</v>
      </c>
      <c r="H317">
        <v>2.9999999999999997E-4</v>
      </c>
      <c r="I317">
        <v>1.38E-2</v>
      </c>
      <c r="J317">
        <v>0.154</v>
      </c>
      <c r="K317">
        <v>1.2999999999999999E-3</v>
      </c>
      <c r="L317">
        <v>1.4999999999999999E-2</v>
      </c>
    </row>
    <row r="318" spans="1:12" x14ac:dyDescent="0.2">
      <c r="A318">
        <v>60</v>
      </c>
      <c r="B318" t="s">
        <v>51</v>
      </c>
      <c r="C318">
        <v>0.12670000000000001</v>
      </c>
      <c r="D318">
        <v>41</v>
      </c>
      <c r="E318">
        <v>4.0000000000000001E-3</v>
      </c>
      <c r="F318">
        <v>5.9999999999999995E-4</v>
      </c>
      <c r="G318">
        <v>1.5E-3</v>
      </c>
      <c r="H318">
        <v>2.9999999999999997E-4</v>
      </c>
      <c r="I318">
        <v>6.1999999999999998E-3</v>
      </c>
      <c r="J318">
        <v>7.2400000000000006E-2</v>
      </c>
      <c r="K318">
        <v>1.1000000000000001E-3</v>
      </c>
      <c r="L318">
        <v>1.3100000000000001E-2</v>
      </c>
    </row>
    <row r="319" spans="1:12" x14ac:dyDescent="0.2">
      <c r="A319">
        <v>60</v>
      </c>
      <c r="B319" t="s">
        <v>51</v>
      </c>
      <c r="C319">
        <v>0.12670000000000001</v>
      </c>
      <c r="D319">
        <v>42</v>
      </c>
      <c r="E319">
        <v>8.0000000000000002E-3</v>
      </c>
      <c r="F319">
        <v>5.9999999999999995E-4</v>
      </c>
      <c r="G319">
        <v>2.8999999999999998E-3</v>
      </c>
      <c r="H319">
        <v>2.9999999999999997E-4</v>
      </c>
      <c r="I319">
        <v>1.26E-2</v>
      </c>
      <c r="J319">
        <v>0.1409</v>
      </c>
      <c r="K319">
        <v>1.1000000000000001E-3</v>
      </c>
      <c r="L319">
        <v>1.3299999999999999E-2</v>
      </c>
    </row>
    <row r="320" spans="1:12" x14ac:dyDescent="0.2">
      <c r="A320">
        <v>60</v>
      </c>
      <c r="B320" t="s">
        <v>51</v>
      </c>
      <c r="C320">
        <v>0.12670000000000001</v>
      </c>
      <c r="D320">
        <v>43</v>
      </c>
      <c r="E320">
        <v>7.0000000000000001E-3</v>
      </c>
      <c r="F320">
        <v>5.9999999999999995E-4</v>
      </c>
      <c r="G320">
        <v>2.3999999999999998E-3</v>
      </c>
      <c r="H320">
        <v>2.9999999999999997E-4</v>
      </c>
      <c r="I320">
        <v>1.12E-2</v>
      </c>
      <c r="J320">
        <v>0.12590000000000001</v>
      </c>
      <c r="K320">
        <v>1.1000000000000001E-3</v>
      </c>
      <c r="L320">
        <v>1.37E-2</v>
      </c>
    </row>
    <row r="321" spans="1:12" x14ac:dyDescent="0.2">
      <c r="A321">
        <v>60</v>
      </c>
      <c r="B321" t="s">
        <v>51</v>
      </c>
      <c r="C321">
        <v>0.12670000000000001</v>
      </c>
      <c r="D321">
        <v>44</v>
      </c>
      <c r="E321">
        <v>5.0000000000000001E-3</v>
      </c>
      <c r="F321">
        <v>5.9999999999999995E-4</v>
      </c>
      <c r="G321">
        <v>1.6999999999999999E-3</v>
      </c>
      <c r="H321">
        <v>2.9999999999999997E-4</v>
      </c>
      <c r="I321">
        <v>8.0999999999999996E-3</v>
      </c>
      <c r="J321">
        <v>9.2600000000000002E-2</v>
      </c>
      <c r="K321">
        <v>1.1999999999999999E-3</v>
      </c>
      <c r="L321">
        <v>1.4E-2</v>
      </c>
    </row>
    <row r="322" spans="1:12" x14ac:dyDescent="0.2">
      <c r="A322">
        <v>60</v>
      </c>
      <c r="B322" t="s">
        <v>51</v>
      </c>
      <c r="C322">
        <v>0.12670000000000001</v>
      </c>
      <c r="D322">
        <v>45</v>
      </c>
      <c r="E322">
        <v>6.0000000000000001E-3</v>
      </c>
      <c r="F322">
        <v>5.9999999999999995E-4</v>
      </c>
      <c r="G322">
        <v>1.9E-3</v>
      </c>
      <c r="H322">
        <v>2.0000000000000001E-4</v>
      </c>
      <c r="I322">
        <v>9.7999999999999997E-3</v>
      </c>
      <c r="J322">
        <v>0.1111</v>
      </c>
      <c r="K322">
        <v>1.1999999999999999E-3</v>
      </c>
      <c r="L322">
        <v>1.43E-2</v>
      </c>
    </row>
    <row r="323" spans="1:12" x14ac:dyDescent="0.2">
      <c r="A323">
        <v>60</v>
      </c>
      <c r="B323" t="s">
        <v>51</v>
      </c>
      <c r="C323">
        <v>0.12670000000000001</v>
      </c>
      <c r="D323">
        <v>46</v>
      </c>
      <c r="E323">
        <v>0.01</v>
      </c>
      <c r="F323">
        <v>5.0000000000000001E-4</v>
      </c>
      <c r="G323">
        <v>2.8999999999999998E-3</v>
      </c>
      <c r="H323">
        <v>2.0000000000000001E-4</v>
      </c>
      <c r="I323">
        <v>1.6500000000000001E-2</v>
      </c>
      <c r="J323">
        <v>0.18049999999999999</v>
      </c>
      <c r="K323">
        <v>1E-3</v>
      </c>
      <c r="L323">
        <v>1.2200000000000001E-2</v>
      </c>
    </row>
    <row r="324" spans="1:12" x14ac:dyDescent="0.2">
      <c r="A324">
        <v>60</v>
      </c>
      <c r="B324" t="s">
        <v>51</v>
      </c>
      <c r="C324">
        <v>0.12670000000000001</v>
      </c>
      <c r="D324">
        <v>47</v>
      </c>
      <c r="E324">
        <v>0.01</v>
      </c>
      <c r="F324">
        <v>5.0000000000000001E-4</v>
      </c>
      <c r="G324">
        <v>2.7000000000000001E-3</v>
      </c>
      <c r="H324">
        <v>2.0000000000000001E-4</v>
      </c>
      <c r="I324">
        <v>1.67E-2</v>
      </c>
      <c r="J324">
        <v>0.18340000000000001</v>
      </c>
      <c r="K324">
        <v>1.1000000000000001E-3</v>
      </c>
      <c r="L324">
        <v>1.26E-2</v>
      </c>
    </row>
    <row r="325" spans="1:12" x14ac:dyDescent="0.2">
      <c r="A325">
        <v>60</v>
      </c>
      <c r="B325" t="s">
        <v>51</v>
      </c>
      <c r="C325">
        <v>0.12670000000000001</v>
      </c>
      <c r="D325">
        <v>48</v>
      </c>
      <c r="E325">
        <v>5.0000000000000001E-3</v>
      </c>
      <c r="F325">
        <v>5.0000000000000001E-4</v>
      </c>
      <c r="G325">
        <v>1.2999999999999999E-3</v>
      </c>
      <c r="H325">
        <v>2.0000000000000001E-4</v>
      </c>
      <c r="I325">
        <v>8.5000000000000006E-3</v>
      </c>
      <c r="J325">
        <v>9.7600000000000006E-2</v>
      </c>
      <c r="K325">
        <v>1.1000000000000001E-3</v>
      </c>
      <c r="L325">
        <v>1.2999999999999999E-2</v>
      </c>
    </row>
    <row r="326" spans="1:12" x14ac:dyDescent="0.2">
      <c r="A326">
        <v>60</v>
      </c>
      <c r="B326" t="s">
        <v>51</v>
      </c>
      <c r="C326">
        <v>0.12670000000000001</v>
      </c>
      <c r="D326">
        <v>49</v>
      </c>
      <c r="E326">
        <v>8.9999999999999993E-3</v>
      </c>
      <c r="F326">
        <v>5.0000000000000001E-4</v>
      </c>
      <c r="G326">
        <v>2.0999999999999999E-3</v>
      </c>
      <c r="H326">
        <v>2.0000000000000001E-4</v>
      </c>
      <c r="I326">
        <v>1.55E-2</v>
      </c>
      <c r="J326">
        <v>0.17069999999999999</v>
      </c>
      <c r="K326">
        <v>1.1000000000000001E-3</v>
      </c>
      <c r="L326">
        <v>1.34E-2</v>
      </c>
    </row>
    <row r="327" spans="1:12" x14ac:dyDescent="0.2">
      <c r="A327">
        <v>60</v>
      </c>
      <c r="B327" t="s">
        <v>51</v>
      </c>
      <c r="C327">
        <v>0.12670000000000001</v>
      </c>
      <c r="D327">
        <v>50</v>
      </c>
      <c r="E327">
        <v>4.0000000000000001E-3</v>
      </c>
      <c r="F327">
        <v>5.0000000000000001E-4</v>
      </c>
      <c r="G327">
        <v>8.9999999999999998E-4</v>
      </c>
      <c r="H327">
        <v>2.0000000000000001E-4</v>
      </c>
      <c r="I327">
        <v>7.0000000000000001E-3</v>
      </c>
      <c r="J327">
        <v>8.0799999999999997E-2</v>
      </c>
      <c r="K327">
        <v>1.1999999999999999E-3</v>
      </c>
      <c r="L327">
        <v>1.3899999999999999E-2</v>
      </c>
    </row>
    <row r="328" spans="1:12" x14ac:dyDescent="0.2">
      <c r="A328">
        <v>60</v>
      </c>
      <c r="B328" t="s">
        <v>51</v>
      </c>
      <c r="C328">
        <v>0.12670000000000001</v>
      </c>
      <c r="D328">
        <v>51</v>
      </c>
      <c r="E328">
        <v>7.0000000000000001E-3</v>
      </c>
      <c r="F328">
        <v>5.0000000000000001E-4</v>
      </c>
      <c r="G328">
        <v>1.4E-3</v>
      </c>
      <c r="H328">
        <v>1E-4</v>
      </c>
      <c r="I328">
        <v>1.23E-2</v>
      </c>
      <c r="J328">
        <v>0.1384</v>
      </c>
      <c r="K328">
        <v>1.1999999999999999E-3</v>
      </c>
      <c r="L328">
        <v>1.44E-2</v>
      </c>
    </row>
    <row r="329" spans="1:12" x14ac:dyDescent="0.2">
      <c r="A329">
        <v>60</v>
      </c>
      <c r="B329" t="s">
        <v>51</v>
      </c>
      <c r="C329">
        <v>0.12670000000000001</v>
      </c>
      <c r="D329">
        <v>52</v>
      </c>
      <c r="E329">
        <v>4.0000000000000001E-3</v>
      </c>
      <c r="F329">
        <v>5.0000000000000001E-4</v>
      </c>
      <c r="G329">
        <v>6.9999999999999999E-4</v>
      </c>
      <c r="H329">
        <v>1E-4</v>
      </c>
      <c r="I329">
        <v>7.1000000000000004E-3</v>
      </c>
      <c r="J329">
        <v>8.2400000000000001E-2</v>
      </c>
      <c r="K329">
        <v>1.2999999999999999E-3</v>
      </c>
      <c r="L329">
        <v>1.5100000000000001E-2</v>
      </c>
    </row>
    <row r="330" spans="1:12" x14ac:dyDescent="0.2">
      <c r="A330">
        <v>60</v>
      </c>
      <c r="B330" t="s">
        <v>51</v>
      </c>
      <c r="C330">
        <v>0.12670000000000001</v>
      </c>
      <c r="D330">
        <v>53</v>
      </c>
      <c r="E330">
        <v>0.01</v>
      </c>
      <c r="F330">
        <v>5.0000000000000001E-4</v>
      </c>
      <c r="G330">
        <v>1.5E-3</v>
      </c>
      <c r="H330">
        <v>1E-4</v>
      </c>
      <c r="I330">
        <v>1.7999999999999999E-2</v>
      </c>
      <c r="J330">
        <v>0.1958</v>
      </c>
      <c r="K330">
        <v>1.2999999999999999E-3</v>
      </c>
      <c r="L330">
        <v>1.5800000000000002E-2</v>
      </c>
    </row>
    <row r="331" spans="1:12" x14ac:dyDescent="0.2">
      <c r="A331">
        <v>60</v>
      </c>
      <c r="B331" t="s">
        <v>51</v>
      </c>
      <c r="C331">
        <v>0.12670000000000001</v>
      </c>
      <c r="D331">
        <v>54</v>
      </c>
      <c r="E331">
        <v>0.01</v>
      </c>
      <c r="F331">
        <v>4.0000000000000002E-4</v>
      </c>
      <c r="G331">
        <v>1.2999999999999999E-3</v>
      </c>
      <c r="H331">
        <v>1E-4</v>
      </c>
      <c r="I331">
        <v>1.83E-2</v>
      </c>
      <c r="J331">
        <v>0.19919999999999999</v>
      </c>
      <c r="K331">
        <v>1.1000000000000001E-3</v>
      </c>
      <c r="L331">
        <v>1.35E-2</v>
      </c>
    </row>
    <row r="332" spans="1:12" x14ac:dyDescent="0.2">
      <c r="A332">
        <v>60</v>
      </c>
      <c r="B332" t="s">
        <v>51</v>
      </c>
      <c r="C332">
        <v>0.12670000000000001</v>
      </c>
      <c r="D332">
        <v>55</v>
      </c>
      <c r="E332">
        <v>5.0000000000000001E-3</v>
      </c>
      <c r="F332">
        <v>4.0000000000000002E-4</v>
      </c>
      <c r="G332">
        <v>5.0000000000000001E-4</v>
      </c>
      <c r="H332">
        <v>1E-4</v>
      </c>
      <c r="I332">
        <v>9.2999999999999992E-3</v>
      </c>
      <c r="J332">
        <v>0.1066</v>
      </c>
      <c r="K332">
        <v>1.1999999999999999E-3</v>
      </c>
      <c r="L332">
        <v>1.46E-2</v>
      </c>
    </row>
    <row r="333" spans="1:12" x14ac:dyDescent="0.2">
      <c r="A333">
        <v>60</v>
      </c>
      <c r="B333" t="s">
        <v>51</v>
      </c>
      <c r="C333">
        <v>0.12670000000000001</v>
      </c>
      <c r="D333">
        <v>56</v>
      </c>
      <c r="E333">
        <v>8.9999999999999993E-3</v>
      </c>
      <c r="F333">
        <v>4.0000000000000002E-4</v>
      </c>
      <c r="G333">
        <v>8.0000000000000004E-4</v>
      </c>
      <c r="H333">
        <v>1E-4</v>
      </c>
      <c r="I333">
        <v>1.7000000000000001E-2</v>
      </c>
      <c r="J333">
        <v>0.18590000000000001</v>
      </c>
      <c r="K333">
        <v>1.2999999999999999E-3</v>
      </c>
      <c r="L333">
        <v>1.5900000000000001E-2</v>
      </c>
    </row>
    <row r="334" spans="1:12" x14ac:dyDescent="0.2">
      <c r="A334">
        <v>60</v>
      </c>
      <c r="B334" t="s">
        <v>51</v>
      </c>
      <c r="C334">
        <v>0.12670000000000001</v>
      </c>
      <c r="D334">
        <v>57</v>
      </c>
      <c r="E334">
        <v>4.0000000000000001E-3</v>
      </c>
      <c r="F334">
        <v>4.0000000000000002E-4</v>
      </c>
      <c r="G334">
        <v>2.9999999999999997E-4</v>
      </c>
      <c r="H334">
        <v>1E-4</v>
      </c>
      <c r="I334">
        <v>7.7000000000000002E-3</v>
      </c>
      <c r="J334">
        <v>8.8400000000000006E-2</v>
      </c>
      <c r="K334">
        <v>1.5E-3</v>
      </c>
      <c r="L334">
        <v>1.7899999999999999E-2</v>
      </c>
    </row>
    <row r="335" spans="1:12" x14ac:dyDescent="0.2">
      <c r="A335">
        <v>60</v>
      </c>
      <c r="B335" t="s">
        <v>51</v>
      </c>
      <c r="C335">
        <v>0.12670000000000001</v>
      </c>
      <c r="D335">
        <v>58</v>
      </c>
      <c r="E335">
        <v>7.0000000000000001E-3</v>
      </c>
      <c r="F335">
        <v>4.0000000000000002E-4</v>
      </c>
      <c r="G335">
        <v>2.9999999999999997E-4</v>
      </c>
      <c r="H335">
        <v>1E-4</v>
      </c>
      <c r="I335">
        <v>1.35E-2</v>
      </c>
      <c r="J335">
        <v>0.151</v>
      </c>
      <c r="K335">
        <v>1.8E-3</v>
      </c>
      <c r="L335">
        <v>2.1000000000000001E-2</v>
      </c>
    </row>
    <row r="336" spans="1:12" x14ac:dyDescent="0.2">
      <c r="A336">
        <v>60</v>
      </c>
      <c r="B336" t="s">
        <v>51</v>
      </c>
      <c r="C336">
        <v>0.12670000000000001</v>
      </c>
      <c r="D336">
        <v>59</v>
      </c>
      <c r="E336">
        <v>4.0000000000000001E-3</v>
      </c>
      <c r="F336">
        <v>4.0000000000000002E-4</v>
      </c>
      <c r="G336">
        <v>1E-4</v>
      </c>
      <c r="H336">
        <v>1E-4</v>
      </c>
      <c r="I336">
        <v>7.7999999999999996E-3</v>
      </c>
      <c r="J336">
        <v>9.01E-2</v>
      </c>
      <c r="K336">
        <v>2.3E-3</v>
      </c>
      <c r="L336">
        <v>2.7400000000000001E-2</v>
      </c>
    </row>
    <row r="337" spans="1:12" x14ac:dyDescent="0.2">
      <c r="A337">
        <v>60</v>
      </c>
      <c r="B337" t="s">
        <v>51</v>
      </c>
      <c r="C337">
        <v>0.12670000000000001</v>
      </c>
      <c r="D337">
        <v>60</v>
      </c>
      <c r="E337">
        <v>0.01</v>
      </c>
      <c r="F337">
        <v>4.0000000000000002E-4</v>
      </c>
      <c r="G337">
        <v>0</v>
      </c>
      <c r="H337">
        <v>0</v>
      </c>
      <c r="I337">
        <v>0</v>
      </c>
      <c r="J337">
        <v>0</v>
      </c>
      <c r="K337">
        <v>3.8999999999999998E-3</v>
      </c>
      <c r="L337">
        <v>4.5600000000000002E-2</v>
      </c>
    </row>
    <row r="338" spans="1:12" x14ac:dyDescent="0.2">
      <c r="A338">
        <v>60</v>
      </c>
      <c r="B338" t="s">
        <v>19</v>
      </c>
      <c r="C338">
        <v>0.15939999999999999</v>
      </c>
      <c r="D338">
        <v>1</v>
      </c>
      <c r="E338">
        <v>8.0000000000000002E-3</v>
      </c>
      <c r="F338">
        <v>0</v>
      </c>
      <c r="G338">
        <v>7.9000000000000008E-3</v>
      </c>
      <c r="H338">
        <v>0</v>
      </c>
      <c r="I338">
        <v>8.0000000000000002E-3</v>
      </c>
      <c r="J338">
        <v>9.1899999999999996E-2</v>
      </c>
      <c r="K338">
        <v>0</v>
      </c>
      <c r="L338">
        <v>0</v>
      </c>
    </row>
    <row r="339" spans="1:12" x14ac:dyDescent="0.2">
      <c r="A339">
        <v>60</v>
      </c>
      <c r="B339" t="s">
        <v>19</v>
      </c>
      <c r="C339">
        <v>0.15939999999999999</v>
      </c>
      <c r="D339">
        <v>2</v>
      </c>
      <c r="E339">
        <v>0.01</v>
      </c>
      <c r="F339">
        <v>0</v>
      </c>
      <c r="G339">
        <v>9.7999999999999997E-3</v>
      </c>
      <c r="H339">
        <v>0</v>
      </c>
      <c r="I339">
        <v>1.01E-2</v>
      </c>
      <c r="J339">
        <v>0.1145</v>
      </c>
      <c r="K339">
        <v>0</v>
      </c>
      <c r="L339">
        <v>0</v>
      </c>
    </row>
    <row r="340" spans="1:12" x14ac:dyDescent="0.2">
      <c r="A340">
        <v>60</v>
      </c>
      <c r="B340" t="s">
        <v>19</v>
      </c>
      <c r="C340">
        <v>0.15939999999999999</v>
      </c>
      <c r="D340">
        <v>3</v>
      </c>
      <c r="E340">
        <v>8.0000000000000002E-3</v>
      </c>
      <c r="F340">
        <v>0</v>
      </c>
      <c r="G340">
        <v>7.7000000000000002E-3</v>
      </c>
      <c r="H340">
        <v>0</v>
      </c>
      <c r="I340">
        <v>8.0999999999999996E-3</v>
      </c>
      <c r="J340">
        <v>9.35E-2</v>
      </c>
      <c r="K340">
        <v>0</v>
      </c>
      <c r="L340">
        <v>0</v>
      </c>
    </row>
    <row r="341" spans="1:12" x14ac:dyDescent="0.2">
      <c r="A341">
        <v>60</v>
      </c>
      <c r="B341" t="s">
        <v>19</v>
      </c>
      <c r="C341">
        <v>0.15939999999999999</v>
      </c>
      <c r="D341">
        <v>4</v>
      </c>
      <c r="E341">
        <v>8.0000000000000002E-3</v>
      </c>
      <c r="F341">
        <v>0</v>
      </c>
      <c r="G341">
        <v>7.6E-3</v>
      </c>
      <c r="H341">
        <v>0</v>
      </c>
      <c r="I341">
        <v>8.2000000000000007E-3</v>
      </c>
      <c r="J341">
        <v>9.4200000000000006E-2</v>
      </c>
      <c r="K341">
        <v>0</v>
      </c>
      <c r="L341">
        <v>0</v>
      </c>
    </row>
    <row r="342" spans="1:12" x14ac:dyDescent="0.2">
      <c r="A342">
        <v>60</v>
      </c>
      <c r="B342" t="s">
        <v>19</v>
      </c>
      <c r="C342">
        <v>0.15939999999999999</v>
      </c>
      <c r="D342">
        <v>5</v>
      </c>
      <c r="E342">
        <v>0.01</v>
      </c>
      <c r="F342">
        <v>0</v>
      </c>
      <c r="G342">
        <v>9.4000000000000004E-3</v>
      </c>
      <c r="H342">
        <v>0</v>
      </c>
      <c r="I342">
        <v>1.04E-2</v>
      </c>
      <c r="J342">
        <v>0.1174</v>
      </c>
      <c r="K342">
        <v>0</v>
      </c>
      <c r="L342">
        <v>0</v>
      </c>
    </row>
    <row r="343" spans="1:12" x14ac:dyDescent="0.2">
      <c r="A343">
        <v>60</v>
      </c>
      <c r="B343" t="s">
        <v>19</v>
      </c>
      <c r="C343">
        <v>0.15939999999999999</v>
      </c>
      <c r="D343">
        <v>6</v>
      </c>
      <c r="E343">
        <v>4.0000000000000001E-3</v>
      </c>
      <c r="F343">
        <v>1E-4</v>
      </c>
      <c r="G343">
        <v>3.7000000000000002E-3</v>
      </c>
      <c r="H343">
        <v>1E-4</v>
      </c>
      <c r="I343">
        <v>4.1999999999999997E-3</v>
      </c>
      <c r="J343">
        <v>4.9099999999999998E-2</v>
      </c>
      <c r="K343">
        <v>1E-4</v>
      </c>
      <c r="L343">
        <v>1.2999999999999999E-3</v>
      </c>
    </row>
    <row r="344" spans="1:12" x14ac:dyDescent="0.2">
      <c r="A344">
        <v>60</v>
      </c>
      <c r="B344" t="s">
        <v>19</v>
      </c>
      <c r="C344">
        <v>0.15939999999999999</v>
      </c>
      <c r="D344">
        <v>7</v>
      </c>
      <c r="E344">
        <v>5.0000000000000001E-3</v>
      </c>
      <c r="F344">
        <v>6.9999999999999999E-4</v>
      </c>
      <c r="G344">
        <v>4.5999999999999999E-3</v>
      </c>
      <c r="H344">
        <v>6.9999999999999999E-4</v>
      </c>
      <c r="I344">
        <v>5.3E-3</v>
      </c>
      <c r="J344">
        <v>6.1199999999999997E-2</v>
      </c>
      <c r="K344">
        <v>8.0000000000000004E-4</v>
      </c>
      <c r="L344">
        <v>9.1999999999999998E-3</v>
      </c>
    </row>
    <row r="345" spans="1:12" x14ac:dyDescent="0.2">
      <c r="A345">
        <v>60</v>
      </c>
      <c r="B345" t="s">
        <v>19</v>
      </c>
      <c r="C345">
        <v>0.15939999999999999</v>
      </c>
      <c r="D345">
        <v>8</v>
      </c>
      <c r="E345">
        <v>7.0000000000000001E-3</v>
      </c>
      <c r="F345">
        <v>1.5E-3</v>
      </c>
      <c r="G345">
        <v>6.4000000000000003E-3</v>
      </c>
      <c r="H345">
        <v>1.4E-3</v>
      </c>
      <c r="I345">
        <v>7.4000000000000003E-3</v>
      </c>
      <c r="J345">
        <v>8.5199999999999998E-2</v>
      </c>
      <c r="K345">
        <v>1.6999999999999999E-3</v>
      </c>
      <c r="L345">
        <v>1.9800000000000002E-2</v>
      </c>
    </row>
    <row r="346" spans="1:12" x14ac:dyDescent="0.2">
      <c r="A346">
        <v>60</v>
      </c>
      <c r="B346" t="s">
        <v>19</v>
      </c>
      <c r="C346">
        <v>0.15939999999999999</v>
      </c>
      <c r="D346">
        <v>9</v>
      </c>
      <c r="E346">
        <v>5.0000000000000001E-3</v>
      </c>
      <c r="F346">
        <v>2.5999999999999999E-3</v>
      </c>
      <c r="G346">
        <v>4.4999999999999997E-3</v>
      </c>
      <c r="H346">
        <v>2.5000000000000001E-3</v>
      </c>
      <c r="I346">
        <v>5.3E-3</v>
      </c>
      <c r="J346">
        <v>6.2100000000000002E-2</v>
      </c>
      <c r="K346">
        <v>2.8999999999999998E-3</v>
      </c>
      <c r="L346">
        <v>3.44E-2</v>
      </c>
    </row>
    <row r="347" spans="1:12" x14ac:dyDescent="0.2">
      <c r="A347">
        <v>60</v>
      </c>
      <c r="B347" t="s">
        <v>19</v>
      </c>
      <c r="C347">
        <v>0.15939999999999999</v>
      </c>
      <c r="D347">
        <v>10</v>
      </c>
      <c r="E347">
        <v>8.0000000000000002E-3</v>
      </c>
      <c r="F347">
        <v>3.5000000000000001E-3</v>
      </c>
      <c r="G347">
        <v>7.1000000000000004E-3</v>
      </c>
      <c r="H347">
        <v>3.3E-3</v>
      </c>
      <c r="I347">
        <v>8.6E-3</v>
      </c>
      <c r="J347">
        <v>9.8400000000000001E-2</v>
      </c>
      <c r="K347">
        <v>4.0000000000000001E-3</v>
      </c>
      <c r="L347">
        <v>4.65E-2</v>
      </c>
    </row>
    <row r="348" spans="1:12" x14ac:dyDescent="0.2">
      <c r="A348">
        <v>60</v>
      </c>
      <c r="B348" t="s">
        <v>19</v>
      </c>
      <c r="C348">
        <v>0.15939999999999999</v>
      </c>
      <c r="D348">
        <v>11</v>
      </c>
      <c r="E348">
        <v>6.0000000000000001E-3</v>
      </c>
      <c r="F348">
        <v>4.3E-3</v>
      </c>
      <c r="G348">
        <v>5.1999999999999998E-3</v>
      </c>
      <c r="H348">
        <v>4.0000000000000001E-3</v>
      </c>
      <c r="I348">
        <v>6.4999999999999997E-3</v>
      </c>
      <c r="J348">
        <v>7.5600000000000001E-2</v>
      </c>
      <c r="K348">
        <v>4.8999999999999998E-3</v>
      </c>
      <c r="L348">
        <v>5.7599999999999998E-2</v>
      </c>
    </row>
    <row r="349" spans="1:12" x14ac:dyDescent="0.2">
      <c r="A349">
        <v>60</v>
      </c>
      <c r="B349" t="s">
        <v>19</v>
      </c>
      <c r="C349">
        <v>0.15939999999999999</v>
      </c>
      <c r="D349">
        <v>12</v>
      </c>
      <c r="E349">
        <v>5.0000000000000001E-3</v>
      </c>
      <c r="F349">
        <v>4.8999999999999998E-3</v>
      </c>
      <c r="G349">
        <v>4.3E-3</v>
      </c>
      <c r="H349">
        <v>4.4999999999999997E-3</v>
      </c>
      <c r="I349">
        <v>5.4999999999999997E-3</v>
      </c>
      <c r="J349">
        <v>6.4000000000000001E-2</v>
      </c>
      <c r="K349">
        <v>5.7000000000000002E-3</v>
      </c>
      <c r="L349">
        <v>6.6199999999999995E-2</v>
      </c>
    </row>
    <row r="350" spans="1:12" x14ac:dyDescent="0.2">
      <c r="A350">
        <v>60</v>
      </c>
      <c r="B350" t="s">
        <v>19</v>
      </c>
      <c r="C350">
        <v>0.15939999999999999</v>
      </c>
      <c r="D350">
        <v>13</v>
      </c>
      <c r="E350">
        <v>8.0000000000000002E-3</v>
      </c>
      <c r="F350">
        <v>5.3E-3</v>
      </c>
      <c r="G350">
        <v>6.7999999999999996E-3</v>
      </c>
      <c r="H350">
        <v>4.7999999999999996E-3</v>
      </c>
      <c r="I350">
        <v>8.8999999999999999E-3</v>
      </c>
      <c r="J350">
        <v>0.1017</v>
      </c>
      <c r="K350">
        <v>6.1999999999999998E-3</v>
      </c>
      <c r="L350">
        <v>7.2300000000000003E-2</v>
      </c>
    </row>
    <row r="351" spans="1:12" x14ac:dyDescent="0.2">
      <c r="A351">
        <v>60</v>
      </c>
      <c r="B351" t="s">
        <v>19</v>
      </c>
      <c r="C351">
        <v>0.15939999999999999</v>
      </c>
      <c r="D351">
        <v>14</v>
      </c>
      <c r="E351">
        <v>5.0000000000000001E-3</v>
      </c>
      <c r="F351">
        <v>5.5999999999999999E-3</v>
      </c>
      <c r="G351">
        <v>4.1999999999999997E-3</v>
      </c>
      <c r="H351">
        <v>5.0000000000000001E-3</v>
      </c>
      <c r="I351">
        <v>5.5999999999999999E-3</v>
      </c>
      <c r="J351">
        <v>6.5699999999999995E-2</v>
      </c>
      <c r="K351">
        <v>6.7000000000000002E-3</v>
      </c>
      <c r="L351">
        <v>7.7499999999999999E-2</v>
      </c>
    </row>
    <row r="352" spans="1:12" x14ac:dyDescent="0.2">
      <c r="A352">
        <v>60</v>
      </c>
      <c r="B352" t="s">
        <v>19</v>
      </c>
      <c r="C352">
        <v>0.15939999999999999</v>
      </c>
      <c r="D352">
        <v>15</v>
      </c>
      <c r="E352">
        <v>7.0000000000000001E-3</v>
      </c>
      <c r="F352">
        <v>5.7000000000000002E-3</v>
      </c>
      <c r="G352">
        <v>5.7000000000000002E-3</v>
      </c>
      <c r="H352">
        <v>5.0000000000000001E-3</v>
      </c>
      <c r="I352">
        <v>8.0000000000000002E-3</v>
      </c>
      <c r="J352">
        <v>9.1800000000000007E-2</v>
      </c>
      <c r="K352">
        <v>6.8999999999999999E-3</v>
      </c>
      <c r="L352">
        <v>7.9899999999999999E-2</v>
      </c>
    </row>
    <row r="353" spans="1:12" x14ac:dyDescent="0.2">
      <c r="A353">
        <v>60</v>
      </c>
      <c r="B353" t="s">
        <v>19</v>
      </c>
      <c r="C353">
        <v>0.15939999999999999</v>
      </c>
      <c r="D353">
        <v>16</v>
      </c>
      <c r="E353">
        <v>5.0000000000000001E-3</v>
      </c>
      <c r="F353">
        <v>5.7000000000000002E-3</v>
      </c>
      <c r="G353">
        <v>4.0000000000000001E-3</v>
      </c>
      <c r="H353">
        <v>5.0000000000000001E-3</v>
      </c>
      <c r="I353">
        <v>5.7999999999999996E-3</v>
      </c>
      <c r="J353">
        <v>6.7400000000000002E-2</v>
      </c>
      <c r="K353">
        <v>7.0000000000000001E-3</v>
      </c>
      <c r="L353">
        <v>8.1100000000000005E-2</v>
      </c>
    </row>
    <row r="354" spans="1:12" x14ac:dyDescent="0.2">
      <c r="A354">
        <v>60</v>
      </c>
      <c r="B354" t="s">
        <v>19</v>
      </c>
      <c r="C354">
        <v>0.15939999999999999</v>
      </c>
      <c r="D354">
        <v>17</v>
      </c>
      <c r="E354">
        <v>4.0000000000000001E-3</v>
      </c>
      <c r="F354">
        <v>5.7000000000000002E-3</v>
      </c>
      <c r="G354">
        <v>3.2000000000000002E-3</v>
      </c>
      <c r="H354">
        <v>4.8999999999999998E-3</v>
      </c>
      <c r="I354">
        <v>4.7000000000000002E-3</v>
      </c>
      <c r="J354">
        <v>5.4899999999999997E-2</v>
      </c>
      <c r="K354">
        <v>7.1000000000000004E-3</v>
      </c>
      <c r="L354">
        <v>8.2299999999999998E-2</v>
      </c>
    </row>
    <row r="355" spans="1:12" x14ac:dyDescent="0.2">
      <c r="A355">
        <v>60</v>
      </c>
      <c r="B355" t="s">
        <v>19</v>
      </c>
      <c r="C355">
        <v>0.15939999999999999</v>
      </c>
      <c r="D355">
        <v>18</v>
      </c>
      <c r="E355">
        <v>8.9999999999999993E-3</v>
      </c>
      <c r="F355">
        <v>5.4999999999999997E-3</v>
      </c>
      <c r="G355">
        <v>7.0000000000000001E-3</v>
      </c>
      <c r="H355">
        <v>4.5999999999999999E-3</v>
      </c>
      <c r="I355">
        <v>1.0699999999999999E-2</v>
      </c>
      <c r="J355">
        <v>0.12089999999999999</v>
      </c>
      <c r="K355">
        <v>7.0000000000000001E-3</v>
      </c>
      <c r="L355">
        <v>8.0500000000000002E-2</v>
      </c>
    </row>
    <row r="356" spans="1:12" x14ac:dyDescent="0.2">
      <c r="A356">
        <v>60</v>
      </c>
      <c r="B356" t="s">
        <v>19</v>
      </c>
      <c r="C356">
        <v>0.15939999999999999</v>
      </c>
      <c r="D356">
        <v>19</v>
      </c>
      <c r="E356">
        <v>4.0000000000000001E-3</v>
      </c>
      <c r="F356">
        <v>5.4000000000000003E-3</v>
      </c>
      <c r="G356">
        <v>3.0999999999999999E-3</v>
      </c>
      <c r="H356">
        <v>4.4999999999999997E-3</v>
      </c>
      <c r="I356">
        <v>4.7999999999999996E-3</v>
      </c>
      <c r="J356">
        <v>5.6500000000000002E-2</v>
      </c>
      <c r="K356">
        <v>7.0000000000000001E-3</v>
      </c>
      <c r="L356">
        <v>8.0600000000000005E-2</v>
      </c>
    </row>
    <row r="357" spans="1:12" x14ac:dyDescent="0.2">
      <c r="A357">
        <v>60</v>
      </c>
      <c r="B357" t="s">
        <v>19</v>
      </c>
      <c r="C357">
        <v>0.15939999999999999</v>
      </c>
      <c r="D357">
        <v>20</v>
      </c>
      <c r="E357">
        <v>8.0000000000000002E-3</v>
      </c>
      <c r="F357">
        <v>5.1999999999999998E-3</v>
      </c>
      <c r="G357">
        <v>6.0000000000000001E-3</v>
      </c>
      <c r="H357">
        <v>4.3E-3</v>
      </c>
      <c r="I357">
        <v>9.7999999999999997E-3</v>
      </c>
      <c r="J357">
        <v>0.11119999999999999</v>
      </c>
      <c r="K357">
        <v>6.7999999999999996E-3</v>
      </c>
      <c r="L357">
        <v>7.8700000000000006E-2</v>
      </c>
    </row>
    <row r="358" spans="1:12" x14ac:dyDescent="0.2">
      <c r="A358">
        <v>60</v>
      </c>
      <c r="B358" t="s">
        <v>19</v>
      </c>
      <c r="C358">
        <v>0.15939999999999999</v>
      </c>
      <c r="D358">
        <v>21</v>
      </c>
      <c r="E358">
        <v>7.0000000000000001E-3</v>
      </c>
      <c r="F358">
        <v>4.8999999999999998E-3</v>
      </c>
      <c r="G358">
        <v>5.1000000000000004E-3</v>
      </c>
      <c r="H358">
        <v>3.8999999999999998E-3</v>
      </c>
      <c r="I358">
        <v>8.6999999999999994E-3</v>
      </c>
      <c r="J358">
        <v>9.9500000000000005E-2</v>
      </c>
      <c r="K358">
        <v>6.4999999999999997E-3</v>
      </c>
      <c r="L358">
        <v>7.5700000000000003E-2</v>
      </c>
    </row>
    <row r="359" spans="1:12" x14ac:dyDescent="0.2">
      <c r="A359">
        <v>60</v>
      </c>
      <c r="B359" t="s">
        <v>19</v>
      </c>
      <c r="C359">
        <v>0.15939999999999999</v>
      </c>
      <c r="D359">
        <v>22</v>
      </c>
      <c r="E359">
        <v>5.0000000000000001E-3</v>
      </c>
      <c r="F359">
        <v>4.7000000000000002E-3</v>
      </c>
      <c r="G359">
        <v>3.5999999999999999E-3</v>
      </c>
      <c r="H359">
        <v>3.7000000000000002E-3</v>
      </c>
      <c r="I359">
        <v>6.3E-3</v>
      </c>
      <c r="J359">
        <v>7.3099999999999998E-2</v>
      </c>
      <c r="K359">
        <v>6.4000000000000003E-3</v>
      </c>
      <c r="L359">
        <v>7.3899999999999993E-2</v>
      </c>
    </row>
    <row r="360" spans="1:12" x14ac:dyDescent="0.2">
      <c r="A360">
        <v>60</v>
      </c>
      <c r="B360" t="s">
        <v>19</v>
      </c>
      <c r="C360">
        <v>0.15939999999999999</v>
      </c>
      <c r="D360">
        <v>23</v>
      </c>
      <c r="E360">
        <v>6.0000000000000001E-3</v>
      </c>
      <c r="F360">
        <v>4.4999999999999997E-3</v>
      </c>
      <c r="G360">
        <v>4.1999999999999997E-3</v>
      </c>
      <c r="H360">
        <v>3.5000000000000001E-3</v>
      </c>
      <c r="I360">
        <v>7.7000000000000002E-3</v>
      </c>
      <c r="J360">
        <v>8.8099999999999998E-2</v>
      </c>
      <c r="K360">
        <v>6.1999999999999998E-3</v>
      </c>
      <c r="L360">
        <v>7.1900000000000006E-2</v>
      </c>
    </row>
    <row r="361" spans="1:12" x14ac:dyDescent="0.2">
      <c r="A361">
        <v>60</v>
      </c>
      <c r="B361" t="s">
        <v>19</v>
      </c>
      <c r="C361">
        <v>0.15939999999999999</v>
      </c>
      <c r="D361">
        <v>24</v>
      </c>
      <c r="E361">
        <v>0.01</v>
      </c>
      <c r="F361">
        <v>4.1999999999999997E-3</v>
      </c>
      <c r="G361">
        <v>6.8999999999999999E-3</v>
      </c>
      <c r="H361">
        <v>3.2000000000000002E-3</v>
      </c>
      <c r="I361">
        <v>1.29E-2</v>
      </c>
      <c r="J361">
        <v>0.1447</v>
      </c>
      <c r="K361">
        <v>5.8999999999999999E-3</v>
      </c>
      <c r="L361">
        <v>6.83E-2</v>
      </c>
    </row>
    <row r="362" spans="1:12" x14ac:dyDescent="0.2">
      <c r="A362">
        <v>60</v>
      </c>
      <c r="B362" t="s">
        <v>19</v>
      </c>
      <c r="C362">
        <v>0.15939999999999999</v>
      </c>
      <c r="D362">
        <v>25</v>
      </c>
      <c r="E362">
        <v>0.01</v>
      </c>
      <c r="F362">
        <v>4.0000000000000001E-3</v>
      </c>
      <c r="G362">
        <v>6.7999999999999996E-3</v>
      </c>
      <c r="H362">
        <v>3.0000000000000001E-3</v>
      </c>
      <c r="I362">
        <v>1.32E-2</v>
      </c>
      <c r="J362">
        <v>0.1472</v>
      </c>
      <c r="K362">
        <v>5.7000000000000002E-3</v>
      </c>
      <c r="L362">
        <v>6.6500000000000004E-2</v>
      </c>
    </row>
    <row r="363" spans="1:12" x14ac:dyDescent="0.2">
      <c r="A363">
        <v>60</v>
      </c>
      <c r="B363" t="s">
        <v>19</v>
      </c>
      <c r="C363">
        <v>0.15939999999999999</v>
      </c>
      <c r="D363">
        <v>26</v>
      </c>
      <c r="E363">
        <v>5.0000000000000001E-3</v>
      </c>
      <c r="F363">
        <v>3.8E-3</v>
      </c>
      <c r="G363">
        <v>3.3E-3</v>
      </c>
      <c r="H363">
        <v>2.8E-3</v>
      </c>
      <c r="I363">
        <v>6.7000000000000002E-3</v>
      </c>
      <c r="J363">
        <v>7.7600000000000002E-2</v>
      </c>
      <c r="K363">
        <v>5.4999999999999997E-3</v>
      </c>
      <c r="L363">
        <v>6.4600000000000005E-2</v>
      </c>
    </row>
    <row r="364" spans="1:12" x14ac:dyDescent="0.2">
      <c r="A364">
        <v>60</v>
      </c>
      <c r="B364" t="s">
        <v>19</v>
      </c>
      <c r="C364">
        <v>0.15939999999999999</v>
      </c>
      <c r="D364">
        <v>27</v>
      </c>
      <c r="E364">
        <v>8.9999999999999993E-3</v>
      </c>
      <c r="F364">
        <v>3.5000000000000001E-3</v>
      </c>
      <c r="G364">
        <v>5.7999999999999996E-3</v>
      </c>
      <c r="H364">
        <v>2.5000000000000001E-3</v>
      </c>
      <c r="I364">
        <v>1.2200000000000001E-2</v>
      </c>
      <c r="J364">
        <v>0.13730000000000001</v>
      </c>
      <c r="K364">
        <v>5.1999999999999998E-3</v>
      </c>
      <c r="L364">
        <v>6.0499999999999998E-2</v>
      </c>
    </row>
    <row r="365" spans="1:12" x14ac:dyDescent="0.2">
      <c r="A365">
        <v>60</v>
      </c>
      <c r="B365" t="s">
        <v>19</v>
      </c>
      <c r="C365">
        <v>0.15939999999999999</v>
      </c>
      <c r="D365">
        <v>28</v>
      </c>
      <c r="E365">
        <v>4.0000000000000001E-3</v>
      </c>
      <c r="F365">
        <v>3.3E-3</v>
      </c>
      <c r="G365">
        <v>2.5000000000000001E-3</v>
      </c>
      <c r="H365">
        <v>2.3E-3</v>
      </c>
      <c r="I365">
        <v>5.4999999999999997E-3</v>
      </c>
      <c r="J365">
        <v>6.4399999999999999E-2</v>
      </c>
      <c r="K365">
        <v>5.0000000000000001E-3</v>
      </c>
      <c r="L365">
        <v>5.8299999999999998E-2</v>
      </c>
    </row>
    <row r="366" spans="1:12" x14ac:dyDescent="0.2">
      <c r="A366">
        <v>60</v>
      </c>
      <c r="B366" t="s">
        <v>19</v>
      </c>
      <c r="C366">
        <v>0.15939999999999999</v>
      </c>
      <c r="D366">
        <v>29</v>
      </c>
      <c r="E366">
        <v>7.0000000000000001E-3</v>
      </c>
      <c r="F366">
        <v>3.0999999999999999E-3</v>
      </c>
      <c r="G366">
        <v>4.3E-3</v>
      </c>
      <c r="H366">
        <v>2.0999999999999999E-3</v>
      </c>
      <c r="I366">
        <v>9.7999999999999997E-3</v>
      </c>
      <c r="J366">
        <v>0.11119999999999999</v>
      </c>
      <c r="K366">
        <v>4.7999999999999996E-3</v>
      </c>
      <c r="L366">
        <v>5.5599999999999997E-2</v>
      </c>
    </row>
    <row r="367" spans="1:12" x14ac:dyDescent="0.2">
      <c r="A367">
        <v>60</v>
      </c>
      <c r="B367" t="s">
        <v>19</v>
      </c>
      <c r="C367">
        <v>0.15939999999999999</v>
      </c>
      <c r="D367">
        <v>30</v>
      </c>
      <c r="E367">
        <v>4.0000000000000001E-3</v>
      </c>
      <c r="F367">
        <v>2.8999999999999998E-3</v>
      </c>
      <c r="G367">
        <v>2.3999999999999998E-3</v>
      </c>
      <c r="H367">
        <v>2E-3</v>
      </c>
      <c r="I367">
        <v>5.7000000000000002E-3</v>
      </c>
      <c r="J367">
        <v>6.59E-2</v>
      </c>
      <c r="K367">
        <v>4.4999999999999997E-3</v>
      </c>
      <c r="L367">
        <v>5.2999999999999999E-2</v>
      </c>
    </row>
    <row r="368" spans="1:12" x14ac:dyDescent="0.2">
      <c r="A368">
        <v>60</v>
      </c>
      <c r="B368" t="s">
        <v>19</v>
      </c>
      <c r="C368">
        <v>0.15939999999999999</v>
      </c>
      <c r="D368">
        <v>31</v>
      </c>
      <c r="E368">
        <v>0.01</v>
      </c>
      <c r="F368">
        <v>2.7000000000000001E-3</v>
      </c>
      <c r="G368">
        <v>5.7999999999999996E-3</v>
      </c>
      <c r="H368">
        <v>1.8E-3</v>
      </c>
      <c r="I368">
        <v>1.43E-2</v>
      </c>
      <c r="J368">
        <v>0.1588</v>
      </c>
      <c r="K368">
        <v>4.3E-3</v>
      </c>
      <c r="L368">
        <v>5.0099999999999999E-2</v>
      </c>
    </row>
    <row r="369" spans="1:12" x14ac:dyDescent="0.2">
      <c r="A369">
        <v>60</v>
      </c>
      <c r="B369" t="s">
        <v>19</v>
      </c>
      <c r="C369">
        <v>0.15939999999999999</v>
      </c>
      <c r="D369">
        <v>32</v>
      </c>
      <c r="E369">
        <v>4.0000000000000001E-3</v>
      </c>
      <c r="F369">
        <v>2.5999999999999999E-3</v>
      </c>
      <c r="G369">
        <v>2.3E-3</v>
      </c>
      <c r="H369">
        <v>1.6999999999999999E-3</v>
      </c>
      <c r="I369">
        <v>5.7999999999999996E-3</v>
      </c>
      <c r="J369">
        <v>6.7699999999999996E-2</v>
      </c>
      <c r="K369">
        <v>4.1999999999999997E-3</v>
      </c>
      <c r="L369">
        <v>4.9299999999999997E-2</v>
      </c>
    </row>
    <row r="370" spans="1:12" x14ac:dyDescent="0.2">
      <c r="A370">
        <v>60</v>
      </c>
      <c r="B370" t="s">
        <v>19</v>
      </c>
      <c r="C370">
        <v>0.15939999999999999</v>
      </c>
      <c r="D370">
        <v>33</v>
      </c>
      <c r="E370">
        <v>8.0000000000000002E-3</v>
      </c>
      <c r="F370">
        <v>2.3999999999999998E-3</v>
      </c>
      <c r="G370">
        <v>4.4000000000000003E-3</v>
      </c>
      <c r="H370">
        <v>1.5E-3</v>
      </c>
      <c r="I370">
        <v>1.18E-2</v>
      </c>
      <c r="J370">
        <v>0.13239999999999999</v>
      </c>
      <c r="K370">
        <v>3.8999999999999998E-3</v>
      </c>
      <c r="L370">
        <v>4.6199999999999998E-2</v>
      </c>
    </row>
    <row r="371" spans="1:12" x14ac:dyDescent="0.2">
      <c r="A371">
        <v>60</v>
      </c>
      <c r="B371" t="s">
        <v>19</v>
      </c>
      <c r="C371">
        <v>0.15939999999999999</v>
      </c>
      <c r="D371">
        <v>34</v>
      </c>
      <c r="E371">
        <v>8.9999999999999993E-3</v>
      </c>
      <c r="F371">
        <v>2.3E-3</v>
      </c>
      <c r="G371">
        <v>4.7999999999999996E-3</v>
      </c>
      <c r="H371">
        <v>1.4E-3</v>
      </c>
      <c r="I371">
        <v>1.34E-2</v>
      </c>
      <c r="J371">
        <v>0.14990000000000001</v>
      </c>
      <c r="K371">
        <v>3.8E-3</v>
      </c>
      <c r="L371">
        <v>4.5199999999999997E-2</v>
      </c>
    </row>
    <row r="372" spans="1:12" x14ac:dyDescent="0.2">
      <c r="A372">
        <v>60</v>
      </c>
      <c r="B372" t="s">
        <v>19</v>
      </c>
      <c r="C372">
        <v>0.15939999999999999</v>
      </c>
      <c r="D372">
        <v>35</v>
      </c>
      <c r="E372">
        <v>6.0000000000000001E-3</v>
      </c>
      <c r="F372">
        <v>2.0999999999999999E-3</v>
      </c>
      <c r="G372">
        <v>3.0999999999999999E-3</v>
      </c>
      <c r="H372">
        <v>1.2999999999999999E-3</v>
      </c>
      <c r="I372">
        <v>9.1000000000000004E-3</v>
      </c>
      <c r="J372">
        <v>0.1041</v>
      </c>
      <c r="K372">
        <v>3.5999999999999999E-3</v>
      </c>
      <c r="L372">
        <v>4.2299999999999997E-2</v>
      </c>
    </row>
    <row r="373" spans="1:12" x14ac:dyDescent="0.2">
      <c r="A373">
        <v>60</v>
      </c>
      <c r="B373" t="s">
        <v>19</v>
      </c>
      <c r="C373">
        <v>0.15939999999999999</v>
      </c>
      <c r="D373">
        <v>36</v>
      </c>
      <c r="E373">
        <v>6.0000000000000001E-3</v>
      </c>
      <c r="F373">
        <v>2E-3</v>
      </c>
      <c r="G373">
        <v>3.0000000000000001E-3</v>
      </c>
      <c r="H373">
        <v>1.1999999999999999E-3</v>
      </c>
      <c r="I373">
        <v>9.1999999999999998E-3</v>
      </c>
      <c r="J373">
        <v>0.1053</v>
      </c>
      <c r="K373">
        <v>3.5000000000000001E-3</v>
      </c>
      <c r="L373">
        <v>4.1000000000000002E-2</v>
      </c>
    </row>
    <row r="374" spans="1:12" x14ac:dyDescent="0.2">
      <c r="A374">
        <v>60</v>
      </c>
      <c r="B374" t="s">
        <v>19</v>
      </c>
      <c r="C374">
        <v>0.15939999999999999</v>
      </c>
      <c r="D374">
        <v>37</v>
      </c>
      <c r="E374">
        <v>7.0000000000000001E-3</v>
      </c>
      <c r="F374">
        <v>1.9E-3</v>
      </c>
      <c r="G374">
        <v>3.3999999999999998E-3</v>
      </c>
      <c r="H374">
        <v>1.1000000000000001E-3</v>
      </c>
      <c r="I374">
        <v>1.09E-2</v>
      </c>
      <c r="J374">
        <v>0.12330000000000001</v>
      </c>
      <c r="K374">
        <v>3.3999999999999998E-3</v>
      </c>
      <c r="L374">
        <v>3.9699999999999999E-2</v>
      </c>
    </row>
    <row r="375" spans="1:12" x14ac:dyDescent="0.2">
      <c r="A375">
        <v>60</v>
      </c>
      <c r="B375" t="s">
        <v>19</v>
      </c>
      <c r="C375">
        <v>0.15939999999999999</v>
      </c>
      <c r="D375">
        <v>38</v>
      </c>
      <c r="E375">
        <v>5.0000000000000001E-3</v>
      </c>
      <c r="F375">
        <v>1.6999999999999999E-3</v>
      </c>
      <c r="G375">
        <v>2.3E-3</v>
      </c>
      <c r="H375">
        <v>8.9999999999999998E-4</v>
      </c>
      <c r="I375">
        <v>7.9000000000000008E-3</v>
      </c>
      <c r="J375">
        <v>9.0800000000000006E-2</v>
      </c>
      <c r="K375">
        <v>3.0999999999999999E-3</v>
      </c>
      <c r="L375">
        <v>3.6299999999999999E-2</v>
      </c>
    </row>
    <row r="376" spans="1:12" x14ac:dyDescent="0.2">
      <c r="A376">
        <v>60</v>
      </c>
      <c r="B376" t="s">
        <v>19</v>
      </c>
      <c r="C376">
        <v>0.15939999999999999</v>
      </c>
      <c r="D376">
        <v>39</v>
      </c>
      <c r="E376">
        <v>4.0000000000000001E-3</v>
      </c>
      <c r="F376">
        <v>1.6000000000000001E-3</v>
      </c>
      <c r="G376">
        <v>1.8E-3</v>
      </c>
      <c r="H376">
        <v>8.0000000000000004E-4</v>
      </c>
      <c r="I376">
        <v>6.4000000000000003E-3</v>
      </c>
      <c r="J376">
        <v>7.3999999999999996E-2</v>
      </c>
      <c r="K376">
        <v>2.8999999999999998E-3</v>
      </c>
      <c r="L376">
        <v>3.4799999999999998E-2</v>
      </c>
    </row>
    <row r="377" spans="1:12" x14ac:dyDescent="0.2">
      <c r="A377">
        <v>60</v>
      </c>
      <c r="B377" t="s">
        <v>19</v>
      </c>
      <c r="C377">
        <v>0.15939999999999999</v>
      </c>
      <c r="D377">
        <v>40</v>
      </c>
      <c r="E377">
        <v>8.9999999999999993E-3</v>
      </c>
      <c r="F377">
        <v>1.5E-3</v>
      </c>
      <c r="G377">
        <v>3.8E-3</v>
      </c>
      <c r="H377">
        <v>8.0000000000000004E-4</v>
      </c>
      <c r="I377">
        <v>1.4500000000000001E-2</v>
      </c>
      <c r="J377">
        <v>0.1608</v>
      </c>
      <c r="K377">
        <v>2.8E-3</v>
      </c>
      <c r="L377">
        <v>3.32E-2</v>
      </c>
    </row>
    <row r="378" spans="1:12" x14ac:dyDescent="0.2">
      <c r="A378">
        <v>60</v>
      </c>
      <c r="B378" t="s">
        <v>19</v>
      </c>
      <c r="C378">
        <v>0.15939999999999999</v>
      </c>
      <c r="D378">
        <v>41</v>
      </c>
      <c r="E378">
        <v>4.0000000000000001E-3</v>
      </c>
      <c r="F378">
        <v>1.4E-3</v>
      </c>
      <c r="G378">
        <v>1.6000000000000001E-3</v>
      </c>
      <c r="H378">
        <v>6.9999999999999999E-4</v>
      </c>
      <c r="I378">
        <v>6.6E-3</v>
      </c>
      <c r="J378">
        <v>7.5899999999999995E-2</v>
      </c>
      <c r="K378">
        <v>2.7000000000000001E-3</v>
      </c>
      <c r="L378">
        <v>3.1699999999999999E-2</v>
      </c>
    </row>
    <row r="379" spans="1:12" x14ac:dyDescent="0.2">
      <c r="A379">
        <v>60</v>
      </c>
      <c r="B379" t="s">
        <v>19</v>
      </c>
      <c r="C379">
        <v>0.15939999999999999</v>
      </c>
      <c r="D379">
        <v>42</v>
      </c>
      <c r="E379">
        <v>8.0000000000000002E-3</v>
      </c>
      <c r="F379">
        <v>1.4E-3</v>
      </c>
      <c r="G379">
        <v>3.0999999999999999E-3</v>
      </c>
      <c r="H379">
        <v>6.9999999999999999E-4</v>
      </c>
      <c r="I379">
        <v>1.32E-2</v>
      </c>
      <c r="J379">
        <v>0.1477</v>
      </c>
      <c r="K379">
        <v>2.7000000000000001E-3</v>
      </c>
      <c r="L379">
        <v>3.2300000000000002E-2</v>
      </c>
    </row>
    <row r="380" spans="1:12" x14ac:dyDescent="0.2">
      <c r="A380">
        <v>60</v>
      </c>
      <c r="B380" t="s">
        <v>19</v>
      </c>
      <c r="C380">
        <v>0.15939999999999999</v>
      </c>
      <c r="D380">
        <v>43</v>
      </c>
      <c r="E380">
        <v>7.0000000000000001E-3</v>
      </c>
      <c r="F380">
        <v>1.2999999999999999E-3</v>
      </c>
      <c r="G380">
        <v>2.5999999999999999E-3</v>
      </c>
      <c r="H380">
        <v>5.9999999999999995E-4</v>
      </c>
      <c r="I380">
        <v>1.18E-2</v>
      </c>
      <c r="J380">
        <v>0.1323</v>
      </c>
      <c r="K380">
        <v>2.5999999999999999E-3</v>
      </c>
      <c r="L380">
        <v>3.0800000000000001E-2</v>
      </c>
    </row>
    <row r="381" spans="1:12" x14ac:dyDescent="0.2">
      <c r="A381">
        <v>60</v>
      </c>
      <c r="B381" t="s">
        <v>19</v>
      </c>
      <c r="C381">
        <v>0.15939999999999999</v>
      </c>
      <c r="D381">
        <v>44</v>
      </c>
      <c r="E381">
        <v>5.0000000000000001E-3</v>
      </c>
      <c r="F381">
        <v>1.1999999999999999E-3</v>
      </c>
      <c r="G381">
        <v>1.6999999999999999E-3</v>
      </c>
      <c r="H381">
        <v>5.0000000000000001E-4</v>
      </c>
      <c r="I381">
        <v>8.5000000000000006E-3</v>
      </c>
      <c r="J381">
        <v>9.7500000000000003E-2</v>
      </c>
      <c r="K381">
        <v>2.5000000000000001E-3</v>
      </c>
      <c r="L381">
        <v>2.9100000000000001E-2</v>
      </c>
    </row>
    <row r="382" spans="1:12" x14ac:dyDescent="0.2">
      <c r="A382">
        <v>60</v>
      </c>
      <c r="B382" t="s">
        <v>19</v>
      </c>
      <c r="C382">
        <v>0.15939999999999999</v>
      </c>
      <c r="D382">
        <v>45</v>
      </c>
      <c r="E382">
        <v>6.0000000000000001E-3</v>
      </c>
      <c r="F382">
        <v>1.1000000000000001E-3</v>
      </c>
      <c r="G382">
        <v>2E-3</v>
      </c>
      <c r="H382">
        <v>5.0000000000000001E-4</v>
      </c>
      <c r="I382">
        <v>1.03E-2</v>
      </c>
      <c r="J382">
        <v>0.1171</v>
      </c>
      <c r="K382">
        <v>2.3E-3</v>
      </c>
      <c r="L382">
        <v>2.7300000000000001E-2</v>
      </c>
    </row>
    <row r="383" spans="1:12" x14ac:dyDescent="0.2">
      <c r="A383">
        <v>60</v>
      </c>
      <c r="B383" t="s">
        <v>19</v>
      </c>
      <c r="C383">
        <v>0.15939999999999999</v>
      </c>
      <c r="D383">
        <v>46</v>
      </c>
      <c r="E383">
        <v>0.01</v>
      </c>
      <c r="F383">
        <v>1.1000000000000001E-3</v>
      </c>
      <c r="G383">
        <v>3.0999999999999999E-3</v>
      </c>
      <c r="H383">
        <v>4.0000000000000002E-4</v>
      </c>
      <c r="I383">
        <v>1.7399999999999999E-2</v>
      </c>
      <c r="J383">
        <v>0.19020000000000001</v>
      </c>
      <c r="K383">
        <v>2.3999999999999998E-3</v>
      </c>
      <c r="L383">
        <v>2.8000000000000001E-2</v>
      </c>
    </row>
    <row r="384" spans="1:12" x14ac:dyDescent="0.2">
      <c r="A384">
        <v>60</v>
      </c>
      <c r="B384" t="s">
        <v>19</v>
      </c>
      <c r="C384">
        <v>0.15939999999999999</v>
      </c>
      <c r="D384">
        <v>47</v>
      </c>
      <c r="E384">
        <v>0.01</v>
      </c>
      <c r="F384">
        <v>1E-3</v>
      </c>
      <c r="G384">
        <v>2.8999999999999998E-3</v>
      </c>
      <c r="H384">
        <v>4.0000000000000002E-4</v>
      </c>
      <c r="I384">
        <v>1.78E-2</v>
      </c>
      <c r="J384">
        <v>0.19359999999999999</v>
      </c>
      <c r="K384">
        <v>2.2000000000000001E-3</v>
      </c>
      <c r="L384">
        <v>2.64E-2</v>
      </c>
    </row>
    <row r="385" spans="1:12" x14ac:dyDescent="0.2">
      <c r="A385">
        <v>60</v>
      </c>
      <c r="B385" t="s">
        <v>19</v>
      </c>
      <c r="C385">
        <v>0.15939999999999999</v>
      </c>
      <c r="D385">
        <v>48</v>
      </c>
      <c r="E385">
        <v>5.0000000000000001E-3</v>
      </c>
      <c r="F385">
        <v>8.9999999999999998E-4</v>
      </c>
      <c r="G385">
        <v>1.2999999999999999E-3</v>
      </c>
      <c r="H385">
        <v>2.9999999999999997E-4</v>
      </c>
      <c r="I385">
        <v>9.1000000000000004E-3</v>
      </c>
      <c r="J385">
        <v>0.10349999999999999</v>
      </c>
      <c r="K385">
        <v>2.0999999999999999E-3</v>
      </c>
      <c r="L385">
        <v>2.47E-2</v>
      </c>
    </row>
    <row r="386" spans="1:12" x14ac:dyDescent="0.2">
      <c r="A386">
        <v>60</v>
      </c>
      <c r="B386" t="s">
        <v>19</v>
      </c>
      <c r="C386">
        <v>0.15939999999999999</v>
      </c>
      <c r="D386">
        <v>49</v>
      </c>
      <c r="E386">
        <v>8.9999999999999993E-3</v>
      </c>
      <c r="F386">
        <v>8.9999999999999998E-4</v>
      </c>
      <c r="G386">
        <v>2.2000000000000001E-3</v>
      </c>
      <c r="H386">
        <v>2.9999999999999997E-4</v>
      </c>
      <c r="I386">
        <v>1.6500000000000001E-2</v>
      </c>
      <c r="J386">
        <v>0.18090000000000001</v>
      </c>
      <c r="K386">
        <v>2.0999999999999999E-3</v>
      </c>
      <c r="L386">
        <v>2.5399999999999999E-2</v>
      </c>
    </row>
    <row r="387" spans="1:12" x14ac:dyDescent="0.2">
      <c r="A387">
        <v>60</v>
      </c>
      <c r="B387" t="s">
        <v>19</v>
      </c>
      <c r="C387">
        <v>0.15939999999999999</v>
      </c>
      <c r="D387">
        <v>50</v>
      </c>
      <c r="E387">
        <v>4.0000000000000001E-3</v>
      </c>
      <c r="F387">
        <v>8.0000000000000004E-4</v>
      </c>
      <c r="G387">
        <v>8.9999999999999998E-4</v>
      </c>
      <c r="H387">
        <v>2.9999999999999997E-4</v>
      </c>
      <c r="I387">
        <v>7.4999999999999997E-3</v>
      </c>
      <c r="J387">
        <v>8.5999999999999993E-2</v>
      </c>
      <c r="K387">
        <v>2E-3</v>
      </c>
      <c r="L387">
        <v>2.35E-2</v>
      </c>
    </row>
    <row r="388" spans="1:12" x14ac:dyDescent="0.2">
      <c r="A388">
        <v>60</v>
      </c>
      <c r="B388" t="s">
        <v>19</v>
      </c>
      <c r="C388">
        <v>0.15939999999999999</v>
      </c>
      <c r="D388">
        <v>51</v>
      </c>
      <c r="E388">
        <v>7.0000000000000001E-3</v>
      </c>
      <c r="F388">
        <v>8.0000000000000004E-4</v>
      </c>
      <c r="G388">
        <v>1.4E-3</v>
      </c>
      <c r="H388">
        <v>2.0000000000000001E-4</v>
      </c>
      <c r="I388">
        <v>1.32E-2</v>
      </c>
      <c r="J388">
        <v>0.1472</v>
      </c>
      <c r="K388">
        <v>2.0999999999999999E-3</v>
      </c>
      <c r="L388">
        <v>2.4400000000000002E-2</v>
      </c>
    </row>
    <row r="389" spans="1:12" x14ac:dyDescent="0.2">
      <c r="A389">
        <v>60</v>
      </c>
      <c r="B389" t="s">
        <v>19</v>
      </c>
      <c r="C389">
        <v>0.15939999999999999</v>
      </c>
      <c r="D389">
        <v>52</v>
      </c>
      <c r="E389">
        <v>4.0000000000000001E-3</v>
      </c>
      <c r="F389">
        <v>6.9999999999999999E-4</v>
      </c>
      <c r="G389">
        <v>6.9999999999999999E-4</v>
      </c>
      <c r="H389">
        <v>2.0000000000000001E-4</v>
      </c>
      <c r="I389">
        <v>7.6E-3</v>
      </c>
      <c r="J389">
        <v>8.7900000000000006E-2</v>
      </c>
      <c r="K389">
        <v>1.9E-3</v>
      </c>
      <c r="L389">
        <v>2.24E-2</v>
      </c>
    </row>
    <row r="390" spans="1:12" x14ac:dyDescent="0.2">
      <c r="A390">
        <v>60</v>
      </c>
      <c r="B390" t="s">
        <v>19</v>
      </c>
      <c r="C390">
        <v>0.15939999999999999</v>
      </c>
      <c r="D390">
        <v>53</v>
      </c>
      <c r="E390">
        <v>0.01</v>
      </c>
      <c r="F390">
        <v>6.9999999999999999E-4</v>
      </c>
      <c r="G390">
        <v>1.6000000000000001E-3</v>
      </c>
      <c r="H390">
        <v>2.0000000000000001E-4</v>
      </c>
      <c r="I390">
        <v>1.9300000000000001E-2</v>
      </c>
      <c r="J390">
        <v>0.20830000000000001</v>
      </c>
      <c r="K390">
        <v>2E-3</v>
      </c>
      <c r="L390">
        <v>2.3400000000000001E-2</v>
      </c>
    </row>
    <row r="391" spans="1:12" x14ac:dyDescent="0.2">
      <c r="A391">
        <v>60</v>
      </c>
      <c r="B391" t="s">
        <v>19</v>
      </c>
      <c r="C391">
        <v>0.15939999999999999</v>
      </c>
      <c r="D391">
        <v>54</v>
      </c>
      <c r="E391">
        <v>0.01</v>
      </c>
      <c r="F391">
        <v>5.9999999999999995E-4</v>
      </c>
      <c r="G391">
        <v>1.4E-3</v>
      </c>
      <c r="H391">
        <v>1E-4</v>
      </c>
      <c r="I391">
        <v>1.9699999999999999E-2</v>
      </c>
      <c r="J391">
        <v>0.2122</v>
      </c>
      <c r="K391">
        <v>1.8E-3</v>
      </c>
      <c r="L391">
        <v>2.1499999999999998E-2</v>
      </c>
    </row>
    <row r="392" spans="1:12" x14ac:dyDescent="0.2">
      <c r="A392">
        <v>60</v>
      </c>
      <c r="B392" t="s">
        <v>19</v>
      </c>
      <c r="C392">
        <v>0.15939999999999999</v>
      </c>
      <c r="D392">
        <v>55</v>
      </c>
      <c r="E392">
        <v>5.0000000000000001E-3</v>
      </c>
      <c r="F392">
        <v>5.9999999999999995E-4</v>
      </c>
      <c r="G392">
        <v>5.9999999999999995E-4</v>
      </c>
      <c r="H392">
        <v>1E-4</v>
      </c>
      <c r="I392">
        <v>0.01</v>
      </c>
      <c r="J392">
        <v>0.11409999999999999</v>
      </c>
      <c r="K392">
        <v>2E-3</v>
      </c>
      <c r="L392">
        <v>2.3199999999999998E-2</v>
      </c>
    </row>
    <row r="393" spans="1:12" x14ac:dyDescent="0.2">
      <c r="A393">
        <v>60</v>
      </c>
      <c r="B393" t="s">
        <v>19</v>
      </c>
      <c r="C393">
        <v>0.15939999999999999</v>
      </c>
      <c r="D393">
        <v>56</v>
      </c>
      <c r="E393">
        <v>8.9999999999999993E-3</v>
      </c>
      <c r="F393">
        <v>5.9999999999999995E-4</v>
      </c>
      <c r="G393">
        <v>8.0000000000000004E-4</v>
      </c>
      <c r="H393">
        <v>1E-4</v>
      </c>
      <c r="I393">
        <v>1.83E-2</v>
      </c>
      <c r="J393">
        <v>0.1986</v>
      </c>
      <c r="K393">
        <v>2.0999999999999999E-3</v>
      </c>
      <c r="L393">
        <v>2.5399999999999999E-2</v>
      </c>
    </row>
    <row r="394" spans="1:12" x14ac:dyDescent="0.2">
      <c r="A394">
        <v>60</v>
      </c>
      <c r="B394" t="s">
        <v>19</v>
      </c>
      <c r="C394">
        <v>0.15939999999999999</v>
      </c>
      <c r="D394">
        <v>57</v>
      </c>
      <c r="E394">
        <v>4.0000000000000001E-3</v>
      </c>
      <c r="F394">
        <v>5.0000000000000001E-4</v>
      </c>
      <c r="G394">
        <v>2.9999999999999997E-4</v>
      </c>
      <c r="H394">
        <v>1E-4</v>
      </c>
      <c r="I394">
        <v>8.3000000000000001E-3</v>
      </c>
      <c r="J394">
        <v>9.5000000000000001E-2</v>
      </c>
      <c r="K394">
        <v>2E-3</v>
      </c>
      <c r="L394">
        <v>2.4E-2</v>
      </c>
    </row>
    <row r="395" spans="1:12" x14ac:dyDescent="0.2">
      <c r="A395">
        <v>60</v>
      </c>
      <c r="B395" t="s">
        <v>19</v>
      </c>
      <c r="C395">
        <v>0.15939999999999999</v>
      </c>
      <c r="D395">
        <v>58</v>
      </c>
      <c r="E395">
        <v>7.0000000000000001E-3</v>
      </c>
      <c r="F395">
        <v>5.0000000000000001E-4</v>
      </c>
      <c r="G395">
        <v>2.9999999999999997E-4</v>
      </c>
      <c r="H395">
        <v>1E-4</v>
      </c>
      <c r="I395">
        <v>1.46E-2</v>
      </c>
      <c r="J395">
        <v>0.16189999999999999</v>
      </c>
      <c r="K395">
        <v>2.3999999999999998E-3</v>
      </c>
      <c r="L395">
        <v>2.81E-2</v>
      </c>
    </row>
    <row r="396" spans="1:12" x14ac:dyDescent="0.2">
      <c r="A396">
        <v>60</v>
      </c>
      <c r="B396" t="s">
        <v>19</v>
      </c>
      <c r="C396">
        <v>0.15939999999999999</v>
      </c>
      <c r="D396">
        <v>59</v>
      </c>
      <c r="E396">
        <v>4.0000000000000001E-3</v>
      </c>
      <c r="F396">
        <v>5.0000000000000001E-4</v>
      </c>
      <c r="G396">
        <v>1E-4</v>
      </c>
      <c r="H396">
        <v>1E-4</v>
      </c>
      <c r="I396">
        <v>8.5000000000000006E-3</v>
      </c>
      <c r="J396">
        <v>9.69E-2</v>
      </c>
      <c r="K396">
        <v>3.0999999999999999E-3</v>
      </c>
      <c r="L396">
        <v>3.6600000000000001E-2</v>
      </c>
    </row>
    <row r="397" spans="1:12" x14ac:dyDescent="0.2">
      <c r="A397">
        <v>60</v>
      </c>
      <c r="B397" t="s">
        <v>19</v>
      </c>
      <c r="C397">
        <v>0.15939999999999999</v>
      </c>
      <c r="D397">
        <v>60</v>
      </c>
      <c r="E397">
        <v>0.01</v>
      </c>
      <c r="F397">
        <v>5.0000000000000001E-4</v>
      </c>
      <c r="G397">
        <v>0</v>
      </c>
      <c r="H397">
        <v>1E-4</v>
      </c>
      <c r="I397">
        <v>0</v>
      </c>
      <c r="J397">
        <v>0</v>
      </c>
      <c r="K397">
        <v>5.1999999999999998E-3</v>
      </c>
      <c r="L397">
        <v>6.08E-2</v>
      </c>
    </row>
    <row r="398" spans="1:12" x14ac:dyDescent="0.2">
      <c r="A398">
        <v>60</v>
      </c>
      <c r="B398" t="s">
        <v>52</v>
      </c>
      <c r="C398">
        <v>0.1925</v>
      </c>
      <c r="D398">
        <v>1</v>
      </c>
      <c r="E398">
        <v>0.01</v>
      </c>
      <c r="F398">
        <v>0</v>
      </c>
      <c r="G398">
        <v>9.9000000000000008E-3</v>
      </c>
      <c r="H398">
        <v>0</v>
      </c>
      <c r="I398">
        <v>0.01</v>
      </c>
      <c r="J398">
        <v>0.11360000000000001</v>
      </c>
      <c r="K398">
        <v>0</v>
      </c>
      <c r="L398">
        <v>0</v>
      </c>
    </row>
    <row r="399" spans="1:12" x14ac:dyDescent="0.2">
      <c r="A399">
        <v>60</v>
      </c>
      <c r="B399" t="s">
        <v>52</v>
      </c>
      <c r="C399">
        <v>0.1925</v>
      </c>
      <c r="D399">
        <v>2</v>
      </c>
      <c r="E399">
        <v>8.0000000000000002E-3</v>
      </c>
      <c r="F399">
        <v>0</v>
      </c>
      <c r="G399">
        <v>7.7999999999999996E-3</v>
      </c>
      <c r="H399">
        <v>0</v>
      </c>
      <c r="I399">
        <v>8.0999999999999996E-3</v>
      </c>
      <c r="J399">
        <v>9.2799999999999994E-2</v>
      </c>
      <c r="K399">
        <v>0</v>
      </c>
      <c r="L399">
        <v>0</v>
      </c>
    </row>
    <row r="400" spans="1:12" x14ac:dyDescent="0.2">
      <c r="A400">
        <v>60</v>
      </c>
      <c r="B400" t="s">
        <v>52</v>
      </c>
      <c r="C400">
        <v>0.1925</v>
      </c>
      <c r="D400">
        <v>3</v>
      </c>
      <c r="E400">
        <v>0.01</v>
      </c>
      <c r="F400">
        <v>0</v>
      </c>
      <c r="G400">
        <v>9.7000000000000003E-3</v>
      </c>
      <c r="H400">
        <v>0</v>
      </c>
      <c r="I400">
        <v>1.0200000000000001E-2</v>
      </c>
      <c r="J400">
        <v>0.11559999999999999</v>
      </c>
      <c r="K400">
        <v>0</v>
      </c>
      <c r="L400">
        <v>0</v>
      </c>
    </row>
    <row r="401" spans="1:12" x14ac:dyDescent="0.2">
      <c r="A401">
        <v>60</v>
      </c>
      <c r="B401" t="s">
        <v>52</v>
      </c>
      <c r="C401">
        <v>0.1925</v>
      </c>
      <c r="D401">
        <v>4</v>
      </c>
      <c r="E401">
        <v>8.0000000000000002E-3</v>
      </c>
      <c r="F401">
        <v>0</v>
      </c>
      <c r="G401">
        <v>7.7000000000000002E-3</v>
      </c>
      <c r="H401">
        <v>0</v>
      </c>
      <c r="I401">
        <v>8.2000000000000007E-3</v>
      </c>
      <c r="J401">
        <v>9.4399999999999998E-2</v>
      </c>
      <c r="K401">
        <v>0</v>
      </c>
      <c r="L401">
        <v>0</v>
      </c>
    </row>
    <row r="402" spans="1:12" x14ac:dyDescent="0.2">
      <c r="A402">
        <v>60</v>
      </c>
      <c r="B402" t="s">
        <v>52</v>
      </c>
      <c r="C402">
        <v>0.1925</v>
      </c>
      <c r="D402">
        <v>5</v>
      </c>
      <c r="E402">
        <v>8.0000000000000002E-3</v>
      </c>
      <c r="F402">
        <v>1E-4</v>
      </c>
      <c r="G402">
        <v>7.6E-3</v>
      </c>
      <c r="H402">
        <v>1E-4</v>
      </c>
      <c r="I402">
        <v>8.3000000000000001E-3</v>
      </c>
      <c r="J402">
        <v>9.5200000000000007E-2</v>
      </c>
      <c r="K402">
        <v>1E-4</v>
      </c>
      <c r="L402">
        <v>1.2999999999999999E-3</v>
      </c>
    </row>
    <row r="403" spans="1:12" x14ac:dyDescent="0.2">
      <c r="A403">
        <v>60</v>
      </c>
      <c r="B403" t="s">
        <v>52</v>
      </c>
      <c r="C403">
        <v>0.1925</v>
      </c>
      <c r="D403">
        <v>6</v>
      </c>
      <c r="E403">
        <v>0.01</v>
      </c>
      <c r="F403">
        <v>2.9999999999999997E-4</v>
      </c>
      <c r="G403">
        <v>9.4000000000000004E-3</v>
      </c>
      <c r="H403">
        <v>2.9999999999999997E-4</v>
      </c>
      <c r="I403">
        <v>1.0500000000000001E-2</v>
      </c>
      <c r="J403">
        <v>0.11849999999999999</v>
      </c>
      <c r="K403">
        <v>2.9999999999999997E-4</v>
      </c>
      <c r="L403">
        <v>3.8999999999999998E-3</v>
      </c>
    </row>
    <row r="404" spans="1:12" x14ac:dyDescent="0.2">
      <c r="A404">
        <v>60</v>
      </c>
      <c r="B404" t="s">
        <v>52</v>
      </c>
      <c r="C404">
        <v>0.1925</v>
      </c>
      <c r="D404">
        <v>7</v>
      </c>
      <c r="E404">
        <v>4.0000000000000001E-3</v>
      </c>
      <c r="F404">
        <v>6.9999999999999999E-4</v>
      </c>
      <c r="G404">
        <v>3.7000000000000002E-3</v>
      </c>
      <c r="H404">
        <v>6.9999999999999999E-4</v>
      </c>
      <c r="I404">
        <v>4.1999999999999997E-3</v>
      </c>
      <c r="J404">
        <v>4.9599999999999998E-2</v>
      </c>
      <c r="K404">
        <v>8.0000000000000004E-4</v>
      </c>
      <c r="L404">
        <v>9.1999999999999998E-3</v>
      </c>
    </row>
    <row r="405" spans="1:12" x14ac:dyDescent="0.2">
      <c r="A405">
        <v>60</v>
      </c>
      <c r="B405" t="s">
        <v>52</v>
      </c>
      <c r="C405">
        <v>0.1925</v>
      </c>
      <c r="D405">
        <v>8</v>
      </c>
      <c r="E405">
        <v>5.0000000000000001E-3</v>
      </c>
      <c r="F405">
        <v>1.4E-3</v>
      </c>
      <c r="G405">
        <v>4.5999999999999999E-3</v>
      </c>
      <c r="H405">
        <v>1.4E-3</v>
      </c>
      <c r="I405">
        <v>5.3E-3</v>
      </c>
      <c r="J405">
        <v>6.1899999999999997E-2</v>
      </c>
      <c r="K405">
        <v>1.6000000000000001E-3</v>
      </c>
      <c r="L405">
        <v>1.8499999999999999E-2</v>
      </c>
    </row>
    <row r="406" spans="1:12" x14ac:dyDescent="0.2">
      <c r="A406">
        <v>60</v>
      </c>
      <c r="B406" t="s">
        <v>52</v>
      </c>
      <c r="C406">
        <v>0.1925</v>
      </c>
      <c r="D406">
        <v>9</v>
      </c>
      <c r="E406">
        <v>7.0000000000000001E-3</v>
      </c>
      <c r="F406">
        <v>2.0999999999999999E-3</v>
      </c>
      <c r="G406">
        <v>6.3E-3</v>
      </c>
      <c r="H406">
        <v>2E-3</v>
      </c>
      <c r="I406">
        <v>7.4999999999999997E-3</v>
      </c>
      <c r="J406">
        <v>8.6199999999999999E-2</v>
      </c>
      <c r="K406">
        <v>2.3999999999999998E-3</v>
      </c>
      <c r="L406">
        <v>2.7900000000000001E-2</v>
      </c>
    </row>
    <row r="407" spans="1:12" x14ac:dyDescent="0.2">
      <c r="A407">
        <v>60</v>
      </c>
      <c r="B407" t="s">
        <v>52</v>
      </c>
      <c r="C407">
        <v>0.1925</v>
      </c>
      <c r="D407">
        <v>10</v>
      </c>
      <c r="E407">
        <v>5.0000000000000001E-3</v>
      </c>
      <c r="F407">
        <v>2.8E-3</v>
      </c>
      <c r="G407">
        <v>4.4999999999999997E-3</v>
      </c>
      <c r="H407">
        <v>2.7000000000000001E-3</v>
      </c>
      <c r="I407">
        <v>5.4000000000000003E-3</v>
      </c>
      <c r="J407">
        <v>6.2899999999999998E-2</v>
      </c>
      <c r="K407">
        <v>3.2000000000000002E-3</v>
      </c>
      <c r="L407">
        <v>3.7400000000000003E-2</v>
      </c>
    </row>
    <row r="408" spans="1:12" x14ac:dyDescent="0.2">
      <c r="A408">
        <v>60</v>
      </c>
      <c r="B408" t="s">
        <v>52</v>
      </c>
      <c r="C408">
        <v>0.1925</v>
      </c>
      <c r="D408">
        <v>11</v>
      </c>
      <c r="E408">
        <v>8.0000000000000002E-3</v>
      </c>
      <c r="F408">
        <v>3.5000000000000001E-3</v>
      </c>
      <c r="G408">
        <v>7.0000000000000001E-3</v>
      </c>
      <c r="H408">
        <v>3.3E-3</v>
      </c>
      <c r="I408">
        <v>8.6999999999999994E-3</v>
      </c>
      <c r="J408">
        <v>9.9699999999999997E-2</v>
      </c>
      <c r="K408">
        <v>4.0000000000000001E-3</v>
      </c>
      <c r="L408">
        <v>4.7E-2</v>
      </c>
    </row>
    <row r="409" spans="1:12" x14ac:dyDescent="0.2">
      <c r="A409">
        <v>60</v>
      </c>
      <c r="B409" t="s">
        <v>52</v>
      </c>
      <c r="C409">
        <v>0.1925</v>
      </c>
      <c r="D409">
        <v>12</v>
      </c>
      <c r="E409">
        <v>6.0000000000000001E-3</v>
      </c>
      <c r="F409">
        <v>4.1000000000000003E-3</v>
      </c>
      <c r="G409">
        <v>5.1999999999999998E-3</v>
      </c>
      <c r="H409">
        <v>3.8E-3</v>
      </c>
      <c r="I409">
        <v>6.6E-3</v>
      </c>
      <c r="J409">
        <v>7.6600000000000001E-2</v>
      </c>
      <c r="K409">
        <v>4.7999999999999996E-3</v>
      </c>
      <c r="L409">
        <v>5.5599999999999997E-2</v>
      </c>
    </row>
    <row r="410" spans="1:12" x14ac:dyDescent="0.2">
      <c r="A410">
        <v>60</v>
      </c>
      <c r="B410" t="s">
        <v>52</v>
      </c>
      <c r="C410">
        <v>0.1925</v>
      </c>
      <c r="D410">
        <v>13</v>
      </c>
      <c r="E410">
        <v>5.0000000000000001E-3</v>
      </c>
      <c r="F410">
        <v>4.5999999999999999E-3</v>
      </c>
      <c r="G410">
        <v>4.3E-3</v>
      </c>
      <c r="H410">
        <v>4.1999999999999997E-3</v>
      </c>
      <c r="I410">
        <v>5.5999999999999999E-3</v>
      </c>
      <c r="J410">
        <v>6.4899999999999999E-2</v>
      </c>
      <c r="K410">
        <v>5.4000000000000003E-3</v>
      </c>
      <c r="L410">
        <v>6.3E-2</v>
      </c>
    </row>
    <row r="411" spans="1:12" x14ac:dyDescent="0.2">
      <c r="A411">
        <v>60</v>
      </c>
      <c r="B411" t="s">
        <v>52</v>
      </c>
      <c r="C411">
        <v>0.1925</v>
      </c>
      <c r="D411">
        <v>14</v>
      </c>
      <c r="E411">
        <v>8.0000000000000002E-3</v>
      </c>
      <c r="F411">
        <v>4.8999999999999998E-3</v>
      </c>
      <c r="G411">
        <v>6.7999999999999996E-3</v>
      </c>
      <c r="H411">
        <v>4.4000000000000003E-3</v>
      </c>
      <c r="I411">
        <v>8.9999999999999993E-3</v>
      </c>
      <c r="J411">
        <v>0.10299999999999999</v>
      </c>
      <c r="K411">
        <v>5.7999999999999996E-3</v>
      </c>
      <c r="L411">
        <v>6.7799999999999999E-2</v>
      </c>
    </row>
    <row r="412" spans="1:12" x14ac:dyDescent="0.2">
      <c r="A412">
        <v>60</v>
      </c>
      <c r="B412" t="s">
        <v>52</v>
      </c>
      <c r="C412">
        <v>0.1925</v>
      </c>
      <c r="D412">
        <v>15</v>
      </c>
      <c r="E412">
        <v>5.0000000000000001E-3</v>
      </c>
      <c r="F412">
        <v>5.1999999999999998E-3</v>
      </c>
      <c r="G412">
        <v>4.1999999999999997E-3</v>
      </c>
      <c r="H412">
        <v>4.5999999999999999E-3</v>
      </c>
      <c r="I412">
        <v>5.7000000000000002E-3</v>
      </c>
      <c r="J412">
        <v>6.6500000000000004E-2</v>
      </c>
      <c r="K412">
        <v>6.3E-3</v>
      </c>
      <c r="L412">
        <v>7.2900000000000006E-2</v>
      </c>
    </row>
    <row r="413" spans="1:12" x14ac:dyDescent="0.2">
      <c r="A413">
        <v>60</v>
      </c>
      <c r="B413" t="s">
        <v>52</v>
      </c>
      <c r="C413">
        <v>0.1925</v>
      </c>
      <c r="D413">
        <v>16</v>
      </c>
      <c r="E413">
        <v>7.0000000000000001E-3</v>
      </c>
      <c r="F413">
        <v>5.3E-3</v>
      </c>
      <c r="G413">
        <v>5.7000000000000002E-3</v>
      </c>
      <c r="H413">
        <v>4.7000000000000002E-3</v>
      </c>
      <c r="I413">
        <v>8.0999999999999996E-3</v>
      </c>
      <c r="J413">
        <v>9.2999999999999999E-2</v>
      </c>
      <c r="K413">
        <v>6.4999999999999997E-3</v>
      </c>
      <c r="L413">
        <v>7.5200000000000003E-2</v>
      </c>
    </row>
    <row r="414" spans="1:12" x14ac:dyDescent="0.2">
      <c r="A414">
        <v>60</v>
      </c>
      <c r="B414" t="s">
        <v>52</v>
      </c>
      <c r="C414">
        <v>0.1925</v>
      </c>
      <c r="D414">
        <v>17</v>
      </c>
      <c r="E414">
        <v>5.0000000000000001E-3</v>
      </c>
      <c r="F414">
        <v>5.4000000000000003E-3</v>
      </c>
      <c r="G414">
        <v>4.0000000000000001E-3</v>
      </c>
      <c r="H414">
        <v>4.7000000000000002E-3</v>
      </c>
      <c r="I414">
        <v>5.8999999999999999E-3</v>
      </c>
      <c r="J414">
        <v>6.8199999999999997E-2</v>
      </c>
      <c r="K414">
        <v>6.7000000000000002E-3</v>
      </c>
      <c r="L414">
        <v>7.7799999999999994E-2</v>
      </c>
    </row>
    <row r="415" spans="1:12" x14ac:dyDescent="0.2">
      <c r="A415">
        <v>60</v>
      </c>
      <c r="B415" t="s">
        <v>52</v>
      </c>
      <c r="C415">
        <v>0.1925</v>
      </c>
      <c r="D415">
        <v>18</v>
      </c>
      <c r="E415">
        <v>4.0000000000000001E-3</v>
      </c>
      <c r="F415">
        <v>5.4000000000000003E-3</v>
      </c>
      <c r="G415">
        <v>3.2000000000000002E-3</v>
      </c>
      <c r="H415">
        <v>4.5999999999999999E-3</v>
      </c>
      <c r="I415">
        <v>4.7999999999999996E-3</v>
      </c>
      <c r="J415">
        <v>5.5599999999999997E-2</v>
      </c>
      <c r="K415">
        <v>6.7999999999999996E-3</v>
      </c>
      <c r="L415">
        <v>7.8799999999999995E-2</v>
      </c>
    </row>
    <row r="416" spans="1:12" x14ac:dyDescent="0.2">
      <c r="A416">
        <v>60</v>
      </c>
      <c r="B416" t="s">
        <v>52</v>
      </c>
      <c r="C416">
        <v>0.1925</v>
      </c>
      <c r="D416">
        <v>19</v>
      </c>
      <c r="E416">
        <v>8.9999999999999993E-3</v>
      </c>
      <c r="F416">
        <v>5.3E-3</v>
      </c>
      <c r="G416">
        <v>7.0000000000000001E-3</v>
      </c>
      <c r="H416">
        <v>4.4999999999999997E-3</v>
      </c>
      <c r="I416">
        <v>1.0800000000000001E-2</v>
      </c>
      <c r="J416">
        <v>0.12230000000000001</v>
      </c>
      <c r="K416">
        <v>6.7999999999999996E-3</v>
      </c>
      <c r="L416">
        <v>7.8399999999999997E-2</v>
      </c>
    </row>
    <row r="417" spans="1:12" x14ac:dyDescent="0.2">
      <c r="A417">
        <v>60</v>
      </c>
      <c r="B417" t="s">
        <v>52</v>
      </c>
      <c r="C417">
        <v>0.1925</v>
      </c>
      <c r="D417">
        <v>20</v>
      </c>
      <c r="E417">
        <v>4.0000000000000001E-3</v>
      </c>
      <c r="F417">
        <v>5.1999999999999998E-3</v>
      </c>
      <c r="G417">
        <v>3.0999999999999999E-3</v>
      </c>
      <c r="H417">
        <v>4.3E-3</v>
      </c>
      <c r="I417">
        <v>4.8999999999999998E-3</v>
      </c>
      <c r="J417">
        <v>5.7099999999999998E-2</v>
      </c>
      <c r="K417">
        <v>6.7999999999999996E-3</v>
      </c>
      <c r="L417">
        <v>7.8399999999999997E-2</v>
      </c>
    </row>
    <row r="418" spans="1:12" x14ac:dyDescent="0.2">
      <c r="A418">
        <v>60</v>
      </c>
      <c r="B418" t="s">
        <v>52</v>
      </c>
      <c r="C418">
        <v>0.1925</v>
      </c>
      <c r="D418">
        <v>21</v>
      </c>
      <c r="E418">
        <v>8.0000000000000002E-3</v>
      </c>
      <c r="F418">
        <v>5.1000000000000004E-3</v>
      </c>
      <c r="G418">
        <v>6.0000000000000001E-3</v>
      </c>
      <c r="H418">
        <v>4.1999999999999997E-3</v>
      </c>
      <c r="I418">
        <v>9.9000000000000008E-3</v>
      </c>
      <c r="J418">
        <v>0.1125</v>
      </c>
      <c r="K418">
        <v>6.7000000000000002E-3</v>
      </c>
      <c r="L418">
        <v>7.8E-2</v>
      </c>
    </row>
    <row r="419" spans="1:12" x14ac:dyDescent="0.2">
      <c r="A419">
        <v>60</v>
      </c>
      <c r="B419" t="s">
        <v>52</v>
      </c>
      <c r="C419">
        <v>0.1925</v>
      </c>
      <c r="D419">
        <v>22</v>
      </c>
      <c r="E419">
        <v>7.0000000000000001E-3</v>
      </c>
      <c r="F419">
        <v>4.8999999999999998E-3</v>
      </c>
      <c r="G419">
        <v>5.1999999999999998E-3</v>
      </c>
      <c r="H419">
        <v>3.8999999999999998E-3</v>
      </c>
      <c r="I419">
        <v>8.8000000000000005E-3</v>
      </c>
      <c r="J419">
        <v>0.10059999999999999</v>
      </c>
      <c r="K419">
        <v>6.6E-3</v>
      </c>
      <c r="L419">
        <v>7.6399999999999996E-2</v>
      </c>
    </row>
    <row r="420" spans="1:12" x14ac:dyDescent="0.2">
      <c r="A420">
        <v>60</v>
      </c>
      <c r="B420" t="s">
        <v>52</v>
      </c>
      <c r="C420">
        <v>0.1925</v>
      </c>
      <c r="D420">
        <v>23</v>
      </c>
      <c r="E420">
        <v>5.0000000000000001E-3</v>
      </c>
      <c r="F420">
        <v>4.7000000000000002E-3</v>
      </c>
      <c r="G420">
        <v>3.5999999999999999E-3</v>
      </c>
      <c r="H420">
        <v>3.7000000000000002E-3</v>
      </c>
      <c r="I420">
        <v>6.4000000000000003E-3</v>
      </c>
      <c r="J420">
        <v>7.3899999999999993E-2</v>
      </c>
      <c r="K420">
        <v>6.4000000000000003E-3</v>
      </c>
      <c r="L420">
        <v>7.46E-2</v>
      </c>
    </row>
    <row r="421" spans="1:12" x14ac:dyDescent="0.2">
      <c r="A421">
        <v>60</v>
      </c>
      <c r="B421" t="s">
        <v>52</v>
      </c>
      <c r="C421">
        <v>0.1925</v>
      </c>
      <c r="D421">
        <v>24</v>
      </c>
      <c r="E421">
        <v>6.0000000000000001E-3</v>
      </c>
      <c r="F421">
        <v>4.4999999999999997E-3</v>
      </c>
      <c r="G421">
        <v>4.3E-3</v>
      </c>
      <c r="H421">
        <v>3.5000000000000001E-3</v>
      </c>
      <c r="I421">
        <v>7.7999999999999996E-3</v>
      </c>
      <c r="J421">
        <v>8.9200000000000002E-2</v>
      </c>
      <c r="K421">
        <v>6.3E-3</v>
      </c>
      <c r="L421">
        <v>7.2599999999999998E-2</v>
      </c>
    </row>
    <row r="422" spans="1:12" x14ac:dyDescent="0.2">
      <c r="A422">
        <v>60</v>
      </c>
      <c r="B422" t="s">
        <v>52</v>
      </c>
      <c r="C422">
        <v>0.1925</v>
      </c>
      <c r="D422">
        <v>25</v>
      </c>
      <c r="E422">
        <v>0.01</v>
      </c>
      <c r="F422">
        <v>4.3E-3</v>
      </c>
      <c r="G422">
        <v>6.8999999999999999E-3</v>
      </c>
      <c r="H422">
        <v>3.3E-3</v>
      </c>
      <c r="I422">
        <v>1.3100000000000001E-2</v>
      </c>
      <c r="J422">
        <v>0.1464</v>
      </c>
      <c r="K422">
        <v>6.1000000000000004E-3</v>
      </c>
      <c r="L422">
        <v>7.0599999999999996E-2</v>
      </c>
    </row>
    <row r="423" spans="1:12" x14ac:dyDescent="0.2">
      <c r="A423">
        <v>60</v>
      </c>
      <c r="B423" t="s">
        <v>52</v>
      </c>
      <c r="C423">
        <v>0.1925</v>
      </c>
      <c r="D423">
        <v>26</v>
      </c>
      <c r="E423">
        <v>0.01</v>
      </c>
      <c r="F423">
        <v>4.1000000000000003E-3</v>
      </c>
      <c r="G423">
        <v>6.7999999999999996E-3</v>
      </c>
      <c r="H423">
        <v>3.0999999999999999E-3</v>
      </c>
      <c r="I423">
        <v>1.34E-2</v>
      </c>
      <c r="J423">
        <v>0.14899999999999999</v>
      </c>
      <c r="K423">
        <v>5.8999999999999999E-3</v>
      </c>
      <c r="L423">
        <v>6.88E-2</v>
      </c>
    </row>
    <row r="424" spans="1:12" x14ac:dyDescent="0.2">
      <c r="A424">
        <v>60</v>
      </c>
      <c r="B424" t="s">
        <v>52</v>
      </c>
      <c r="C424">
        <v>0.1925</v>
      </c>
      <c r="D424">
        <v>27</v>
      </c>
      <c r="E424">
        <v>5.0000000000000001E-3</v>
      </c>
      <c r="F424">
        <v>3.8999999999999998E-3</v>
      </c>
      <c r="G424">
        <v>3.3E-3</v>
      </c>
      <c r="H424">
        <v>2.8999999999999998E-3</v>
      </c>
      <c r="I424">
        <v>6.7999999999999996E-3</v>
      </c>
      <c r="J424">
        <v>7.8700000000000006E-2</v>
      </c>
      <c r="K424">
        <v>5.7999999999999996E-3</v>
      </c>
      <c r="L424">
        <v>6.7000000000000004E-2</v>
      </c>
    </row>
    <row r="425" spans="1:12" x14ac:dyDescent="0.2">
      <c r="A425">
        <v>60</v>
      </c>
      <c r="B425" t="s">
        <v>52</v>
      </c>
      <c r="C425">
        <v>0.1925</v>
      </c>
      <c r="D425">
        <v>28</v>
      </c>
      <c r="E425">
        <v>8.9999999999999993E-3</v>
      </c>
      <c r="F425">
        <v>3.7000000000000002E-3</v>
      </c>
      <c r="G425">
        <v>5.7999999999999996E-3</v>
      </c>
      <c r="H425">
        <v>2.7000000000000001E-3</v>
      </c>
      <c r="I425">
        <v>1.24E-2</v>
      </c>
      <c r="J425">
        <v>0.13900000000000001</v>
      </c>
      <c r="K425">
        <v>5.5999999999999999E-3</v>
      </c>
      <c r="L425">
        <v>6.4600000000000005E-2</v>
      </c>
    </row>
    <row r="426" spans="1:12" x14ac:dyDescent="0.2">
      <c r="A426">
        <v>60</v>
      </c>
      <c r="B426" t="s">
        <v>52</v>
      </c>
      <c r="C426">
        <v>0.1925</v>
      </c>
      <c r="D426">
        <v>29</v>
      </c>
      <c r="E426">
        <v>4.0000000000000001E-3</v>
      </c>
      <c r="F426">
        <v>3.5000000000000001E-3</v>
      </c>
      <c r="G426">
        <v>2.5000000000000001E-3</v>
      </c>
      <c r="H426">
        <v>2.5000000000000001E-3</v>
      </c>
      <c r="I426">
        <v>5.5999999999999999E-3</v>
      </c>
      <c r="J426">
        <v>6.5299999999999997E-2</v>
      </c>
      <c r="K426">
        <v>5.4000000000000003E-3</v>
      </c>
      <c r="L426">
        <v>6.25E-2</v>
      </c>
    </row>
    <row r="427" spans="1:12" x14ac:dyDescent="0.2">
      <c r="A427">
        <v>60</v>
      </c>
      <c r="B427" t="s">
        <v>52</v>
      </c>
      <c r="C427">
        <v>0.1925</v>
      </c>
      <c r="D427">
        <v>30</v>
      </c>
      <c r="E427">
        <v>7.0000000000000001E-3</v>
      </c>
      <c r="F427">
        <v>3.3E-3</v>
      </c>
      <c r="G427">
        <v>4.3E-3</v>
      </c>
      <c r="H427">
        <v>2.3E-3</v>
      </c>
      <c r="I427">
        <v>9.9000000000000008E-3</v>
      </c>
      <c r="J427">
        <v>0.11269999999999999</v>
      </c>
      <c r="K427">
        <v>5.1000000000000004E-3</v>
      </c>
      <c r="L427">
        <v>5.9799999999999999E-2</v>
      </c>
    </row>
    <row r="428" spans="1:12" x14ac:dyDescent="0.2">
      <c r="A428">
        <v>60</v>
      </c>
      <c r="B428" t="s">
        <v>52</v>
      </c>
      <c r="C428">
        <v>0.1925</v>
      </c>
      <c r="D428">
        <v>31</v>
      </c>
      <c r="E428">
        <v>4.0000000000000001E-3</v>
      </c>
      <c r="F428">
        <v>3.0999999999999999E-3</v>
      </c>
      <c r="G428">
        <v>2.3999999999999998E-3</v>
      </c>
      <c r="H428">
        <v>2.0999999999999999E-3</v>
      </c>
      <c r="I428">
        <v>5.7999999999999996E-3</v>
      </c>
      <c r="J428">
        <v>6.6900000000000001E-2</v>
      </c>
      <c r="K428">
        <v>4.8999999999999998E-3</v>
      </c>
      <c r="L428">
        <v>5.7299999999999997E-2</v>
      </c>
    </row>
    <row r="429" spans="1:12" x14ac:dyDescent="0.2">
      <c r="A429">
        <v>60</v>
      </c>
      <c r="B429" t="s">
        <v>52</v>
      </c>
      <c r="C429">
        <v>0.1925</v>
      </c>
      <c r="D429">
        <v>32</v>
      </c>
      <c r="E429">
        <v>0.01</v>
      </c>
      <c r="F429">
        <v>2.8999999999999998E-3</v>
      </c>
      <c r="G429">
        <v>5.7999999999999996E-3</v>
      </c>
      <c r="H429">
        <v>1.9E-3</v>
      </c>
      <c r="I429">
        <v>1.4500000000000001E-2</v>
      </c>
      <c r="J429">
        <v>0.16109999999999999</v>
      </c>
      <c r="K429">
        <v>4.7000000000000002E-3</v>
      </c>
      <c r="L429">
        <v>5.45E-2</v>
      </c>
    </row>
    <row r="430" spans="1:12" x14ac:dyDescent="0.2">
      <c r="A430">
        <v>60</v>
      </c>
      <c r="B430" t="s">
        <v>52</v>
      </c>
      <c r="C430">
        <v>0.1925</v>
      </c>
      <c r="D430">
        <v>33</v>
      </c>
      <c r="E430">
        <v>4.0000000000000001E-3</v>
      </c>
      <c r="F430">
        <v>2.7000000000000001E-3</v>
      </c>
      <c r="G430">
        <v>2.3E-3</v>
      </c>
      <c r="H430">
        <v>1.8E-3</v>
      </c>
      <c r="I430">
        <v>5.8999999999999999E-3</v>
      </c>
      <c r="J430">
        <v>6.88E-2</v>
      </c>
      <c r="K430">
        <v>4.4000000000000003E-3</v>
      </c>
      <c r="L430">
        <v>5.1999999999999998E-2</v>
      </c>
    </row>
    <row r="431" spans="1:12" x14ac:dyDescent="0.2">
      <c r="A431">
        <v>60</v>
      </c>
      <c r="B431" t="s">
        <v>52</v>
      </c>
      <c r="C431">
        <v>0.1925</v>
      </c>
      <c r="D431">
        <v>34</v>
      </c>
      <c r="E431">
        <v>8.0000000000000002E-3</v>
      </c>
      <c r="F431">
        <v>2.5000000000000001E-3</v>
      </c>
      <c r="G431">
        <v>4.4000000000000003E-3</v>
      </c>
      <c r="H431">
        <v>1.6000000000000001E-3</v>
      </c>
      <c r="I431">
        <v>1.2E-2</v>
      </c>
      <c r="J431">
        <v>0.13450000000000001</v>
      </c>
      <c r="K431">
        <v>4.1999999999999997E-3</v>
      </c>
      <c r="L431">
        <v>4.8899999999999999E-2</v>
      </c>
    </row>
    <row r="432" spans="1:12" x14ac:dyDescent="0.2">
      <c r="A432">
        <v>60</v>
      </c>
      <c r="B432" t="s">
        <v>52</v>
      </c>
      <c r="C432">
        <v>0.1925</v>
      </c>
      <c r="D432">
        <v>35</v>
      </c>
      <c r="E432">
        <v>8.9999999999999993E-3</v>
      </c>
      <c r="F432">
        <v>2.3999999999999998E-3</v>
      </c>
      <c r="G432">
        <v>4.7999999999999996E-3</v>
      </c>
      <c r="H432">
        <v>1.5E-3</v>
      </c>
      <c r="I432">
        <v>1.37E-2</v>
      </c>
      <c r="J432">
        <v>0.15229999999999999</v>
      </c>
      <c r="K432">
        <v>4.1000000000000003E-3</v>
      </c>
      <c r="L432">
        <v>4.7899999999999998E-2</v>
      </c>
    </row>
    <row r="433" spans="1:12" x14ac:dyDescent="0.2">
      <c r="A433">
        <v>60</v>
      </c>
      <c r="B433" t="s">
        <v>52</v>
      </c>
      <c r="C433">
        <v>0.1925</v>
      </c>
      <c r="D433">
        <v>36</v>
      </c>
      <c r="E433">
        <v>6.0000000000000001E-3</v>
      </c>
      <c r="F433">
        <v>2.2000000000000001E-3</v>
      </c>
      <c r="G433">
        <v>3.0999999999999999E-3</v>
      </c>
      <c r="H433">
        <v>1.2999999999999999E-3</v>
      </c>
      <c r="I433">
        <v>9.2999999999999992E-3</v>
      </c>
      <c r="J433">
        <v>0.10580000000000001</v>
      </c>
      <c r="K433">
        <v>3.8E-3</v>
      </c>
      <c r="L433">
        <v>4.4999999999999998E-2</v>
      </c>
    </row>
    <row r="434" spans="1:12" x14ac:dyDescent="0.2">
      <c r="A434">
        <v>60</v>
      </c>
      <c r="B434" t="s">
        <v>52</v>
      </c>
      <c r="C434">
        <v>0.1925</v>
      </c>
      <c r="D434">
        <v>37</v>
      </c>
      <c r="E434">
        <v>6.0000000000000001E-3</v>
      </c>
      <c r="F434">
        <v>2.0999999999999999E-3</v>
      </c>
      <c r="G434">
        <v>3.0000000000000001E-3</v>
      </c>
      <c r="H434">
        <v>1.1999999999999999E-3</v>
      </c>
      <c r="I434">
        <v>9.4000000000000004E-3</v>
      </c>
      <c r="J434">
        <v>0.1071</v>
      </c>
      <c r="K434">
        <v>3.7000000000000002E-3</v>
      </c>
      <c r="L434">
        <v>4.3799999999999999E-2</v>
      </c>
    </row>
    <row r="435" spans="1:12" x14ac:dyDescent="0.2">
      <c r="A435">
        <v>60</v>
      </c>
      <c r="B435" t="s">
        <v>52</v>
      </c>
      <c r="C435">
        <v>0.1925</v>
      </c>
      <c r="D435">
        <v>38</v>
      </c>
      <c r="E435">
        <v>7.0000000000000001E-3</v>
      </c>
      <c r="F435">
        <v>2E-3</v>
      </c>
      <c r="G435">
        <v>3.3999999999999998E-3</v>
      </c>
      <c r="H435">
        <v>1.1000000000000001E-3</v>
      </c>
      <c r="I435">
        <v>1.11E-2</v>
      </c>
      <c r="J435">
        <v>0.12540000000000001</v>
      </c>
      <c r="K435">
        <v>3.5999999999999999E-3</v>
      </c>
      <c r="L435">
        <v>4.2500000000000003E-2</v>
      </c>
    </row>
    <row r="436" spans="1:12" x14ac:dyDescent="0.2">
      <c r="A436">
        <v>60</v>
      </c>
      <c r="B436" t="s">
        <v>52</v>
      </c>
      <c r="C436">
        <v>0.1925</v>
      </c>
      <c r="D436">
        <v>39</v>
      </c>
      <c r="E436">
        <v>5.0000000000000001E-3</v>
      </c>
      <c r="F436">
        <v>1.8E-3</v>
      </c>
      <c r="G436">
        <v>2.3E-3</v>
      </c>
      <c r="H436">
        <v>1E-3</v>
      </c>
      <c r="I436">
        <v>8.0000000000000002E-3</v>
      </c>
      <c r="J436">
        <v>9.2399999999999996E-2</v>
      </c>
      <c r="K436">
        <v>3.3E-3</v>
      </c>
      <c r="L436">
        <v>3.9199999999999999E-2</v>
      </c>
    </row>
    <row r="437" spans="1:12" x14ac:dyDescent="0.2">
      <c r="A437">
        <v>60</v>
      </c>
      <c r="B437" t="s">
        <v>52</v>
      </c>
      <c r="C437">
        <v>0.1925</v>
      </c>
      <c r="D437">
        <v>40</v>
      </c>
      <c r="E437">
        <v>4.0000000000000001E-3</v>
      </c>
      <c r="F437">
        <v>1.6999999999999999E-3</v>
      </c>
      <c r="G437">
        <v>1.8E-3</v>
      </c>
      <c r="H437">
        <v>8.9999999999999998E-4</v>
      </c>
      <c r="I437">
        <v>6.4999999999999997E-3</v>
      </c>
      <c r="J437">
        <v>7.5399999999999995E-2</v>
      </c>
      <c r="K437">
        <v>3.2000000000000002E-3</v>
      </c>
      <c r="L437">
        <v>3.7699999999999997E-2</v>
      </c>
    </row>
    <row r="438" spans="1:12" x14ac:dyDescent="0.2">
      <c r="A438">
        <v>60</v>
      </c>
      <c r="B438" t="s">
        <v>52</v>
      </c>
      <c r="C438">
        <v>0.1925</v>
      </c>
      <c r="D438">
        <v>41</v>
      </c>
      <c r="E438">
        <v>8.9999999999999993E-3</v>
      </c>
      <c r="F438">
        <v>1.6000000000000001E-3</v>
      </c>
      <c r="G438">
        <v>3.8E-3</v>
      </c>
      <c r="H438">
        <v>8.0000000000000004E-4</v>
      </c>
      <c r="I438">
        <v>1.4800000000000001E-2</v>
      </c>
      <c r="J438">
        <v>0.1636</v>
      </c>
      <c r="K438">
        <v>3.0999999999999999E-3</v>
      </c>
      <c r="L438">
        <v>3.61E-2</v>
      </c>
    </row>
    <row r="439" spans="1:12" x14ac:dyDescent="0.2">
      <c r="A439">
        <v>60</v>
      </c>
      <c r="B439" t="s">
        <v>52</v>
      </c>
      <c r="C439">
        <v>0.1925</v>
      </c>
      <c r="D439">
        <v>42</v>
      </c>
      <c r="E439">
        <v>4.0000000000000001E-3</v>
      </c>
      <c r="F439">
        <v>1.5E-3</v>
      </c>
      <c r="G439">
        <v>1.6000000000000001E-3</v>
      </c>
      <c r="H439">
        <v>6.9999999999999999E-4</v>
      </c>
      <c r="I439">
        <v>6.7000000000000002E-3</v>
      </c>
      <c r="J439">
        <v>7.7299999999999994E-2</v>
      </c>
      <c r="K439">
        <v>2.8999999999999998E-3</v>
      </c>
      <c r="L439">
        <v>3.4799999999999998E-2</v>
      </c>
    </row>
    <row r="440" spans="1:12" x14ac:dyDescent="0.2">
      <c r="A440">
        <v>60</v>
      </c>
      <c r="B440" t="s">
        <v>52</v>
      </c>
      <c r="C440">
        <v>0.1925</v>
      </c>
      <c r="D440">
        <v>43</v>
      </c>
      <c r="E440">
        <v>8.0000000000000002E-3</v>
      </c>
      <c r="F440">
        <v>1.4E-3</v>
      </c>
      <c r="G440">
        <v>3.0999999999999999E-3</v>
      </c>
      <c r="H440">
        <v>6.9999999999999999E-4</v>
      </c>
      <c r="I440">
        <v>1.35E-2</v>
      </c>
      <c r="J440">
        <v>0.15040000000000001</v>
      </c>
      <c r="K440">
        <v>2.8E-3</v>
      </c>
      <c r="L440">
        <v>3.3099999999999997E-2</v>
      </c>
    </row>
    <row r="441" spans="1:12" x14ac:dyDescent="0.2">
      <c r="A441">
        <v>60</v>
      </c>
      <c r="B441" t="s">
        <v>52</v>
      </c>
      <c r="C441">
        <v>0.1925</v>
      </c>
      <c r="D441">
        <v>44</v>
      </c>
      <c r="E441">
        <v>7.0000000000000001E-3</v>
      </c>
      <c r="F441">
        <v>1.2999999999999999E-3</v>
      </c>
      <c r="G441">
        <v>2.5999999999999999E-3</v>
      </c>
      <c r="H441">
        <v>5.9999999999999995E-4</v>
      </c>
      <c r="I441">
        <v>1.2E-2</v>
      </c>
      <c r="J441">
        <v>0.1348</v>
      </c>
      <c r="K441">
        <v>2.7000000000000001E-3</v>
      </c>
      <c r="L441">
        <v>3.1600000000000003E-2</v>
      </c>
    </row>
    <row r="442" spans="1:12" x14ac:dyDescent="0.2">
      <c r="A442">
        <v>60</v>
      </c>
      <c r="B442" t="s">
        <v>52</v>
      </c>
      <c r="C442">
        <v>0.1925</v>
      </c>
      <c r="D442">
        <v>45</v>
      </c>
      <c r="E442">
        <v>5.0000000000000001E-3</v>
      </c>
      <c r="F442">
        <v>1.1999999999999999E-3</v>
      </c>
      <c r="G442">
        <v>1.6999999999999999E-3</v>
      </c>
      <c r="H442">
        <v>5.0000000000000001E-4</v>
      </c>
      <c r="I442">
        <v>8.6999999999999994E-3</v>
      </c>
      <c r="J442">
        <v>9.9500000000000005E-2</v>
      </c>
      <c r="K442">
        <v>2.5000000000000001E-3</v>
      </c>
      <c r="L442">
        <v>2.9899999999999999E-2</v>
      </c>
    </row>
    <row r="443" spans="1:12" x14ac:dyDescent="0.2">
      <c r="A443">
        <v>60</v>
      </c>
      <c r="B443" t="s">
        <v>52</v>
      </c>
      <c r="C443">
        <v>0.1925</v>
      </c>
      <c r="D443">
        <v>46</v>
      </c>
      <c r="E443">
        <v>6.0000000000000001E-3</v>
      </c>
      <c r="F443">
        <v>1.1000000000000001E-3</v>
      </c>
      <c r="G443">
        <v>1.9E-3</v>
      </c>
      <c r="H443">
        <v>5.0000000000000001E-4</v>
      </c>
      <c r="I443">
        <v>1.0500000000000001E-2</v>
      </c>
      <c r="J443">
        <v>0.1195</v>
      </c>
      <c r="K443">
        <v>2.3999999999999998E-3</v>
      </c>
      <c r="L443">
        <v>2.81E-2</v>
      </c>
    </row>
    <row r="444" spans="1:12" x14ac:dyDescent="0.2">
      <c r="A444">
        <v>60</v>
      </c>
      <c r="B444" t="s">
        <v>52</v>
      </c>
      <c r="C444">
        <v>0.1925</v>
      </c>
      <c r="D444">
        <v>47</v>
      </c>
      <c r="E444">
        <v>0.01</v>
      </c>
      <c r="F444">
        <v>1.1000000000000001E-3</v>
      </c>
      <c r="G444">
        <v>3.0000000000000001E-3</v>
      </c>
      <c r="H444">
        <v>4.0000000000000002E-4</v>
      </c>
      <c r="I444">
        <v>1.78E-2</v>
      </c>
      <c r="J444">
        <v>0.19389999999999999</v>
      </c>
      <c r="K444">
        <v>2.3999999999999998E-3</v>
      </c>
      <c r="L444">
        <v>2.8899999999999999E-2</v>
      </c>
    </row>
    <row r="445" spans="1:12" x14ac:dyDescent="0.2">
      <c r="A445">
        <v>60</v>
      </c>
      <c r="B445" t="s">
        <v>52</v>
      </c>
      <c r="C445">
        <v>0.1925</v>
      </c>
      <c r="D445">
        <v>48</v>
      </c>
      <c r="E445">
        <v>0.01</v>
      </c>
      <c r="F445">
        <v>1E-3</v>
      </c>
      <c r="G445">
        <v>2.8E-3</v>
      </c>
      <c r="H445">
        <v>4.0000000000000002E-4</v>
      </c>
      <c r="I445">
        <v>1.8200000000000001E-2</v>
      </c>
      <c r="J445">
        <v>0.19739999999999999</v>
      </c>
      <c r="K445">
        <v>2.3E-3</v>
      </c>
      <c r="L445">
        <v>2.7300000000000001E-2</v>
      </c>
    </row>
    <row r="446" spans="1:12" x14ac:dyDescent="0.2">
      <c r="A446">
        <v>60</v>
      </c>
      <c r="B446" t="s">
        <v>52</v>
      </c>
      <c r="C446">
        <v>0.1925</v>
      </c>
      <c r="D446">
        <v>49</v>
      </c>
      <c r="E446">
        <v>5.0000000000000001E-3</v>
      </c>
      <c r="F446">
        <v>8.9999999999999998E-4</v>
      </c>
      <c r="G446">
        <v>1.2999999999999999E-3</v>
      </c>
      <c r="H446">
        <v>2.9999999999999997E-4</v>
      </c>
      <c r="I446">
        <v>9.2999999999999992E-3</v>
      </c>
      <c r="J446">
        <v>0.1057</v>
      </c>
      <c r="K446">
        <v>2.2000000000000001E-3</v>
      </c>
      <c r="L446">
        <v>2.5600000000000001E-2</v>
      </c>
    </row>
    <row r="447" spans="1:12" x14ac:dyDescent="0.2">
      <c r="A447">
        <v>60</v>
      </c>
      <c r="B447" t="s">
        <v>52</v>
      </c>
      <c r="C447">
        <v>0.1925</v>
      </c>
      <c r="D447">
        <v>50</v>
      </c>
      <c r="E447">
        <v>8.9999999999999993E-3</v>
      </c>
      <c r="F447">
        <v>8.9999999999999998E-4</v>
      </c>
      <c r="G447">
        <v>2.2000000000000001E-3</v>
      </c>
      <c r="H447">
        <v>2.9999999999999997E-4</v>
      </c>
      <c r="I447">
        <v>1.6899999999999998E-2</v>
      </c>
      <c r="J447">
        <v>0.1845</v>
      </c>
      <c r="K447">
        <v>2.2000000000000001E-3</v>
      </c>
      <c r="L447">
        <v>2.64E-2</v>
      </c>
    </row>
    <row r="448" spans="1:12" x14ac:dyDescent="0.2">
      <c r="A448">
        <v>60</v>
      </c>
      <c r="B448" t="s">
        <v>52</v>
      </c>
      <c r="C448">
        <v>0.1925</v>
      </c>
      <c r="D448">
        <v>51</v>
      </c>
      <c r="E448">
        <v>4.0000000000000001E-3</v>
      </c>
      <c r="F448">
        <v>8.0000000000000004E-4</v>
      </c>
      <c r="G448">
        <v>8.9999999999999998E-4</v>
      </c>
      <c r="H448">
        <v>2.9999999999999997E-4</v>
      </c>
      <c r="I448">
        <v>7.6E-3</v>
      </c>
      <c r="J448">
        <v>8.7800000000000003E-2</v>
      </c>
      <c r="K448">
        <v>2.0999999999999999E-3</v>
      </c>
      <c r="L448">
        <v>2.46E-2</v>
      </c>
    </row>
    <row r="449" spans="1:12" x14ac:dyDescent="0.2">
      <c r="A449">
        <v>60</v>
      </c>
      <c r="B449" t="s">
        <v>52</v>
      </c>
      <c r="C449">
        <v>0.1925</v>
      </c>
      <c r="D449">
        <v>52</v>
      </c>
      <c r="E449">
        <v>7.0000000000000001E-3</v>
      </c>
      <c r="F449">
        <v>8.0000000000000004E-4</v>
      </c>
      <c r="G449">
        <v>1.4E-3</v>
      </c>
      <c r="H449">
        <v>2.0000000000000001E-4</v>
      </c>
      <c r="I449">
        <v>1.35E-2</v>
      </c>
      <c r="J449">
        <v>0.15029999999999999</v>
      </c>
      <c r="K449">
        <v>2.2000000000000001E-3</v>
      </c>
      <c r="L449">
        <v>2.5600000000000001E-2</v>
      </c>
    </row>
    <row r="450" spans="1:12" x14ac:dyDescent="0.2">
      <c r="A450">
        <v>60</v>
      </c>
      <c r="B450" t="s">
        <v>52</v>
      </c>
      <c r="C450">
        <v>0.1925</v>
      </c>
      <c r="D450">
        <v>53</v>
      </c>
      <c r="E450">
        <v>4.0000000000000001E-3</v>
      </c>
      <c r="F450">
        <v>6.9999999999999999E-4</v>
      </c>
      <c r="G450">
        <v>6.9999999999999999E-4</v>
      </c>
      <c r="H450">
        <v>2.0000000000000001E-4</v>
      </c>
      <c r="I450">
        <v>7.7999999999999996E-3</v>
      </c>
      <c r="J450">
        <v>8.9899999999999994E-2</v>
      </c>
      <c r="K450">
        <v>2E-3</v>
      </c>
      <c r="L450">
        <v>2.3599999999999999E-2</v>
      </c>
    </row>
    <row r="451" spans="1:12" x14ac:dyDescent="0.2">
      <c r="A451">
        <v>60</v>
      </c>
      <c r="B451" t="s">
        <v>52</v>
      </c>
      <c r="C451">
        <v>0.1925</v>
      </c>
      <c r="D451">
        <v>54</v>
      </c>
      <c r="E451">
        <v>0.01</v>
      </c>
      <c r="F451">
        <v>6.9999999999999999E-4</v>
      </c>
      <c r="G451">
        <v>1.5E-3</v>
      </c>
      <c r="H451">
        <v>2.0000000000000001E-4</v>
      </c>
      <c r="I451">
        <v>1.9699999999999999E-2</v>
      </c>
      <c r="J451">
        <v>0.21260000000000001</v>
      </c>
      <c r="K451">
        <v>2.0999999999999999E-3</v>
      </c>
      <c r="L451">
        <v>2.5000000000000001E-2</v>
      </c>
    </row>
    <row r="452" spans="1:12" x14ac:dyDescent="0.2">
      <c r="A452">
        <v>60</v>
      </c>
      <c r="B452" t="s">
        <v>52</v>
      </c>
      <c r="C452">
        <v>0.1925</v>
      </c>
      <c r="D452">
        <v>55</v>
      </c>
      <c r="E452">
        <v>0.01</v>
      </c>
      <c r="F452">
        <v>5.9999999999999995E-4</v>
      </c>
      <c r="G452">
        <v>1.1999999999999999E-3</v>
      </c>
      <c r="H452">
        <v>1E-4</v>
      </c>
      <c r="I452">
        <v>2.01E-2</v>
      </c>
      <c r="J452">
        <v>0.2167</v>
      </c>
      <c r="K452">
        <v>2E-3</v>
      </c>
      <c r="L452">
        <v>2.3199999999999998E-2</v>
      </c>
    </row>
    <row r="453" spans="1:12" x14ac:dyDescent="0.2">
      <c r="A453">
        <v>60</v>
      </c>
      <c r="B453" t="s">
        <v>52</v>
      </c>
      <c r="C453">
        <v>0.1925</v>
      </c>
      <c r="D453">
        <v>56</v>
      </c>
      <c r="E453">
        <v>5.0000000000000001E-3</v>
      </c>
      <c r="F453">
        <v>5.9999999999999995E-4</v>
      </c>
      <c r="G453">
        <v>5.0000000000000001E-4</v>
      </c>
      <c r="H453">
        <v>1E-4</v>
      </c>
      <c r="I453">
        <v>1.03E-2</v>
      </c>
      <c r="J453">
        <v>0.1167</v>
      </c>
      <c r="K453">
        <v>2.2000000000000001E-3</v>
      </c>
      <c r="L453">
        <v>2.5600000000000001E-2</v>
      </c>
    </row>
    <row r="454" spans="1:12" x14ac:dyDescent="0.2">
      <c r="A454">
        <v>60</v>
      </c>
      <c r="B454" t="s">
        <v>52</v>
      </c>
      <c r="C454">
        <v>0.1925</v>
      </c>
      <c r="D454">
        <v>57</v>
      </c>
      <c r="E454">
        <v>8.9999999999999993E-3</v>
      </c>
      <c r="F454">
        <v>5.9999999999999995E-4</v>
      </c>
      <c r="G454">
        <v>6.9999999999999999E-4</v>
      </c>
      <c r="H454">
        <v>1E-4</v>
      </c>
      <c r="I454">
        <v>1.8700000000000001E-2</v>
      </c>
      <c r="J454">
        <v>0.2029</v>
      </c>
      <c r="K454">
        <v>2.3999999999999998E-3</v>
      </c>
      <c r="L454">
        <v>2.87E-2</v>
      </c>
    </row>
    <row r="455" spans="1:12" x14ac:dyDescent="0.2">
      <c r="A455">
        <v>60</v>
      </c>
      <c r="B455" t="s">
        <v>52</v>
      </c>
      <c r="C455">
        <v>0.1925</v>
      </c>
      <c r="D455">
        <v>58</v>
      </c>
      <c r="E455">
        <v>4.0000000000000001E-3</v>
      </c>
      <c r="F455">
        <v>5.0000000000000001E-4</v>
      </c>
      <c r="G455">
        <v>2.0000000000000001E-4</v>
      </c>
      <c r="H455">
        <v>1E-4</v>
      </c>
      <c r="I455">
        <v>8.5000000000000006E-3</v>
      </c>
      <c r="J455">
        <v>9.7199999999999995E-2</v>
      </c>
      <c r="K455">
        <v>2.3999999999999998E-3</v>
      </c>
      <c r="L455">
        <v>2.8400000000000002E-2</v>
      </c>
    </row>
    <row r="456" spans="1:12" x14ac:dyDescent="0.2">
      <c r="A456">
        <v>60</v>
      </c>
      <c r="B456" t="s">
        <v>52</v>
      </c>
      <c r="C456">
        <v>0.1925</v>
      </c>
      <c r="D456">
        <v>59</v>
      </c>
      <c r="E456">
        <v>7.0000000000000001E-3</v>
      </c>
      <c r="F456">
        <v>5.0000000000000001E-4</v>
      </c>
      <c r="G456">
        <v>2.0000000000000001E-4</v>
      </c>
      <c r="H456">
        <v>1E-4</v>
      </c>
      <c r="I456">
        <v>1.49E-2</v>
      </c>
      <c r="J456">
        <v>0.1653</v>
      </c>
      <c r="K456">
        <v>3.0999999999999999E-3</v>
      </c>
      <c r="L456">
        <v>3.6700000000000003E-2</v>
      </c>
    </row>
    <row r="457" spans="1:12" x14ac:dyDescent="0.2">
      <c r="A457">
        <v>60</v>
      </c>
      <c r="B457" t="s">
        <v>52</v>
      </c>
      <c r="C457">
        <v>0.1925</v>
      </c>
      <c r="D457">
        <v>60</v>
      </c>
      <c r="E457">
        <v>4.0000000000000001E-3</v>
      </c>
      <c r="F457">
        <v>5.0000000000000001E-4</v>
      </c>
      <c r="G457">
        <v>0</v>
      </c>
      <c r="H457">
        <v>1E-4</v>
      </c>
      <c r="I457">
        <v>0</v>
      </c>
      <c r="J457">
        <v>0</v>
      </c>
      <c r="K457">
        <v>5.3E-3</v>
      </c>
      <c r="L457">
        <v>6.1499999999999999E-2</v>
      </c>
    </row>
    <row r="458" spans="1:12" x14ac:dyDescent="0.2">
      <c r="A458">
        <v>60</v>
      </c>
      <c r="B458" t="s">
        <v>53</v>
      </c>
      <c r="C458">
        <v>0.25819999999999999</v>
      </c>
      <c r="D458">
        <v>1</v>
      </c>
      <c r="E458">
        <v>1.04E-2</v>
      </c>
      <c r="F458">
        <v>0</v>
      </c>
      <c r="G458">
        <v>1.03E-2</v>
      </c>
      <c r="H458">
        <v>0</v>
      </c>
      <c r="I458">
        <v>1.04E-2</v>
      </c>
      <c r="J458">
        <v>0.1179</v>
      </c>
      <c r="K458">
        <v>0</v>
      </c>
      <c r="L458">
        <v>0</v>
      </c>
    </row>
    <row r="459" spans="1:12" x14ac:dyDescent="0.2">
      <c r="A459">
        <v>60</v>
      </c>
      <c r="B459" t="s">
        <v>53</v>
      </c>
      <c r="C459">
        <v>0.25819999999999999</v>
      </c>
      <c r="D459">
        <v>2</v>
      </c>
      <c r="E459">
        <v>1.2999999999999999E-2</v>
      </c>
      <c r="F459">
        <v>0</v>
      </c>
      <c r="G459">
        <v>1.2800000000000001E-2</v>
      </c>
      <c r="H459">
        <v>0</v>
      </c>
      <c r="I459">
        <v>1.3100000000000001E-2</v>
      </c>
      <c r="J459">
        <v>0.1467</v>
      </c>
      <c r="K459">
        <v>0</v>
      </c>
      <c r="L459">
        <v>0</v>
      </c>
    </row>
    <row r="460" spans="1:12" x14ac:dyDescent="0.2">
      <c r="A460">
        <v>60</v>
      </c>
      <c r="B460" t="s">
        <v>53</v>
      </c>
      <c r="C460">
        <v>0.25819999999999999</v>
      </c>
      <c r="D460">
        <v>3</v>
      </c>
      <c r="E460">
        <v>1.04E-2</v>
      </c>
      <c r="F460">
        <v>0</v>
      </c>
      <c r="G460">
        <v>1.01E-2</v>
      </c>
      <c r="H460">
        <v>0</v>
      </c>
      <c r="I460">
        <v>1.06E-2</v>
      </c>
      <c r="J460">
        <v>0.1206</v>
      </c>
      <c r="K460">
        <v>0</v>
      </c>
      <c r="L460">
        <v>0</v>
      </c>
    </row>
    <row r="461" spans="1:12" x14ac:dyDescent="0.2">
      <c r="A461">
        <v>60</v>
      </c>
      <c r="B461" t="s">
        <v>53</v>
      </c>
      <c r="C461">
        <v>0.25819999999999999</v>
      </c>
      <c r="D461">
        <v>4</v>
      </c>
      <c r="E461">
        <v>1.04E-2</v>
      </c>
      <c r="F461">
        <v>0</v>
      </c>
      <c r="G461">
        <v>0.01</v>
      </c>
      <c r="H461">
        <v>0</v>
      </c>
      <c r="I461">
        <v>1.0800000000000001E-2</v>
      </c>
      <c r="J461">
        <v>0.12180000000000001</v>
      </c>
      <c r="K461">
        <v>0</v>
      </c>
      <c r="L461">
        <v>0</v>
      </c>
    </row>
    <row r="462" spans="1:12" x14ac:dyDescent="0.2">
      <c r="A462">
        <v>60</v>
      </c>
      <c r="B462" t="s">
        <v>53</v>
      </c>
      <c r="C462">
        <v>0.25819999999999999</v>
      </c>
      <c r="D462">
        <v>5</v>
      </c>
      <c r="E462">
        <v>1.2999999999999999E-2</v>
      </c>
      <c r="F462">
        <v>0</v>
      </c>
      <c r="G462">
        <v>1.24E-2</v>
      </c>
      <c r="H462">
        <v>0</v>
      </c>
      <c r="I462">
        <v>1.3599999999999999E-2</v>
      </c>
      <c r="J462">
        <v>0.1515</v>
      </c>
      <c r="K462">
        <v>0</v>
      </c>
      <c r="L462">
        <v>0</v>
      </c>
    </row>
    <row r="463" spans="1:12" x14ac:dyDescent="0.2">
      <c r="A463">
        <v>60</v>
      </c>
      <c r="B463" t="s">
        <v>53</v>
      </c>
      <c r="C463">
        <v>0.25819999999999999</v>
      </c>
      <c r="D463">
        <v>6</v>
      </c>
      <c r="E463">
        <v>5.1999999999999998E-3</v>
      </c>
      <c r="F463">
        <v>0</v>
      </c>
      <c r="G463">
        <v>4.8999999999999998E-3</v>
      </c>
      <c r="H463">
        <v>0</v>
      </c>
      <c r="I463">
        <v>5.4999999999999997E-3</v>
      </c>
      <c r="J463">
        <v>6.4199999999999993E-2</v>
      </c>
      <c r="K463">
        <v>0</v>
      </c>
      <c r="L463">
        <v>0</v>
      </c>
    </row>
    <row r="464" spans="1:12" x14ac:dyDescent="0.2">
      <c r="A464">
        <v>60</v>
      </c>
      <c r="B464" t="s">
        <v>53</v>
      </c>
      <c r="C464">
        <v>0.25819999999999999</v>
      </c>
      <c r="D464">
        <v>7</v>
      </c>
      <c r="E464">
        <v>6.4999999999999997E-3</v>
      </c>
      <c r="F464">
        <v>5.9999999999999995E-4</v>
      </c>
      <c r="G464">
        <v>6.1000000000000004E-3</v>
      </c>
      <c r="H464">
        <v>5.9999999999999995E-4</v>
      </c>
      <c r="I464">
        <v>6.8999999999999999E-3</v>
      </c>
      <c r="J464">
        <v>8.0100000000000005E-2</v>
      </c>
      <c r="K464">
        <v>6.9999999999999999E-4</v>
      </c>
      <c r="L464">
        <v>7.9000000000000008E-3</v>
      </c>
    </row>
    <row r="465" spans="1:12" x14ac:dyDescent="0.2">
      <c r="A465">
        <v>60</v>
      </c>
      <c r="B465" t="s">
        <v>53</v>
      </c>
      <c r="C465">
        <v>0.25819999999999999</v>
      </c>
      <c r="D465">
        <v>8</v>
      </c>
      <c r="E465">
        <v>9.1000000000000004E-3</v>
      </c>
      <c r="F465">
        <v>2.3E-3</v>
      </c>
      <c r="G465">
        <v>8.3999999999999995E-3</v>
      </c>
      <c r="H465">
        <v>2.2000000000000001E-3</v>
      </c>
      <c r="I465">
        <v>9.7999999999999997E-3</v>
      </c>
      <c r="J465">
        <v>0.11119999999999999</v>
      </c>
      <c r="K465">
        <v>2.5999999999999999E-3</v>
      </c>
      <c r="L465">
        <v>3.04E-2</v>
      </c>
    </row>
    <row r="466" spans="1:12" x14ac:dyDescent="0.2">
      <c r="A466">
        <v>60</v>
      </c>
      <c r="B466" t="s">
        <v>53</v>
      </c>
      <c r="C466">
        <v>0.25819999999999999</v>
      </c>
      <c r="D466">
        <v>9</v>
      </c>
      <c r="E466">
        <v>6.4999999999999997E-3</v>
      </c>
      <c r="F466">
        <v>5.1999999999999998E-3</v>
      </c>
      <c r="G466">
        <v>6.0000000000000001E-3</v>
      </c>
      <c r="H466">
        <v>5.0000000000000001E-3</v>
      </c>
      <c r="I466">
        <v>7.1000000000000004E-3</v>
      </c>
      <c r="J466">
        <v>8.1600000000000006E-2</v>
      </c>
      <c r="K466">
        <v>5.8999999999999999E-3</v>
      </c>
      <c r="L466">
        <v>6.83E-2</v>
      </c>
    </row>
    <row r="467" spans="1:12" x14ac:dyDescent="0.2">
      <c r="A467">
        <v>60</v>
      </c>
      <c r="B467" t="s">
        <v>53</v>
      </c>
      <c r="C467">
        <v>0.25819999999999999</v>
      </c>
      <c r="D467">
        <v>10</v>
      </c>
      <c r="E467">
        <v>1.04E-2</v>
      </c>
      <c r="F467">
        <v>8.6E-3</v>
      </c>
      <c r="G467">
        <v>9.4000000000000004E-3</v>
      </c>
      <c r="H467">
        <v>8.2000000000000007E-3</v>
      </c>
      <c r="I467">
        <v>1.14E-2</v>
      </c>
      <c r="J467">
        <v>0.129</v>
      </c>
      <c r="K467">
        <v>9.9000000000000008E-3</v>
      </c>
      <c r="L467">
        <v>0.11210000000000001</v>
      </c>
    </row>
    <row r="468" spans="1:12" x14ac:dyDescent="0.2">
      <c r="A468">
        <v>60</v>
      </c>
      <c r="B468" t="s">
        <v>53</v>
      </c>
      <c r="C468">
        <v>0.25819999999999999</v>
      </c>
      <c r="D468">
        <v>11</v>
      </c>
      <c r="E468">
        <v>7.7999999999999996E-3</v>
      </c>
      <c r="F468">
        <v>1.2E-2</v>
      </c>
      <c r="G468">
        <v>7.0000000000000001E-3</v>
      </c>
      <c r="H468">
        <v>1.14E-2</v>
      </c>
      <c r="I468">
        <v>8.8000000000000005E-3</v>
      </c>
      <c r="J468">
        <v>0.1002</v>
      </c>
      <c r="K468">
        <v>1.41E-2</v>
      </c>
      <c r="L468">
        <v>0.15629999999999999</v>
      </c>
    </row>
    <row r="469" spans="1:12" x14ac:dyDescent="0.2">
      <c r="A469">
        <v>60</v>
      </c>
      <c r="B469" t="s">
        <v>53</v>
      </c>
      <c r="C469">
        <v>0.25819999999999999</v>
      </c>
      <c r="D469">
        <v>12</v>
      </c>
      <c r="E469">
        <v>6.4999999999999997E-3</v>
      </c>
      <c r="F469">
        <v>1.4999999999999999E-2</v>
      </c>
      <c r="G469">
        <v>5.7999999999999996E-3</v>
      </c>
      <c r="H469">
        <v>1.41E-2</v>
      </c>
      <c r="I469">
        <v>7.4999999999999997E-3</v>
      </c>
      <c r="J469">
        <v>8.5999999999999993E-2</v>
      </c>
      <c r="K469">
        <v>1.7999999999999999E-2</v>
      </c>
      <c r="L469">
        <v>0.1958</v>
      </c>
    </row>
    <row r="470" spans="1:12" x14ac:dyDescent="0.2">
      <c r="A470">
        <v>60</v>
      </c>
      <c r="B470" t="s">
        <v>53</v>
      </c>
      <c r="C470">
        <v>0.25819999999999999</v>
      </c>
      <c r="D470">
        <v>13</v>
      </c>
      <c r="E470">
        <v>1.04E-2</v>
      </c>
      <c r="F470">
        <v>1.7500000000000002E-2</v>
      </c>
      <c r="G470">
        <v>9.1000000000000004E-3</v>
      </c>
      <c r="H470">
        <v>1.6199999999999999E-2</v>
      </c>
      <c r="I470">
        <v>1.2200000000000001E-2</v>
      </c>
      <c r="J470">
        <v>0.13739999999999999</v>
      </c>
      <c r="K470">
        <v>2.1600000000000001E-2</v>
      </c>
      <c r="L470">
        <v>0.2301</v>
      </c>
    </row>
    <row r="471" spans="1:12" x14ac:dyDescent="0.2">
      <c r="A471">
        <v>60</v>
      </c>
      <c r="B471" t="s">
        <v>53</v>
      </c>
      <c r="C471">
        <v>0.25819999999999999</v>
      </c>
      <c r="D471">
        <v>14</v>
      </c>
      <c r="E471">
        <v>6.4999999999999997E-3</v>
      </c>
      <c r="F471">
        <v>1.9199999999999998E-2</v>
      </c>
      <c r="G471">
        <v>5.5999999999999999E-3</v>
      </c>
      <c r="H471">
        <v>1.7600000000000001E-2</v>
      </c>
      <c r="I471">
        <v>7.9000000000000008E-3</v>
      </c>
      <c r="J471">
        <v>9.0899999999999995E-2</v>
      </c>
      <c r="K471">
        <v>2.4500000000000001E-2</v>
      </c>
      <c r="L471">
        <v>0.25719999999999998</v>
      </c>
    </row>
    <row r="472" spans="1:12" x14ac:dyDescent="0.2">
      <c r="A472">
        <v>60</v>
      </c>
      <c r="B472" t="s">
        <v>53</v>
      </c>
      <c r="C472">
        <v>0.25819999999999999</v>
      </c>
      <c r="D472">
        <v>15</v>
      </c>
      <c r="E472">
        <v>9.1000000000000004E-3</v>
      </c>
      <c r="F472">
        <v>2.0400000000000001E-2</v>
      </c>
      <c r="G472">
        <v>7.7999999999999996E-3</v>
      </c>
      <c r="H472">
        <v>1.8499999999999999E-2</v>
      </c>
      <c r="I472">
        <v>1.14E-2</v>
      </c>
      <c r="J472">
        <v>0.12889999999999999</v>
      </c>
      <c r="K472">
        <v>2.69E-2</v>
      </c>
      <c r="L472">
        <v>0.27889999999999998</v>
      </c>
    </row>
    <row r="473" spans="1:12" x14ac:dyDescent="0.2">
      <c r="A473">
        <v>60</v>
      </c>
      <c r="B473" t="s">
        <v>53</v>
      </c>
      <c r="C473">
        <v>0.25819999999999999</v>
      </c>
      <c r="D473">
        <v>16</v>
      </c>
      <c r="E473">
        <v>6.4999999999999997E-3</v>
      </c>
      <c r="F473">
        <v>2.1000000000000001E-2</v>
      </c>
      <c r="G473">
        <v>5.4999999999999997E-3</v>
      </c>
      <c r="H473">
        <v>1.89E-2</v>
      </c>
      <c r="I473">
        <v>8.5000000000000006E-3</v>
      </c>
      <c r="J473">
        <v>9.7100000000000006E-2</v>
      </c>
      <c r="K473">
        <v>2.8799999999999999E-2</v>
      </c>
      <c r="L473">
        <v>0.29559999999999997</v>
      </c>
    </row>
    <row r="474" spans="1:12" x14ac:dyDescent="0.2">
      <c r="A474">
        <v>60</v>
      </c>
      <c r="B474" t="s">
        <v>53</v>
      </c>
      <c r="C474">
        <v>0.25819999999999999</v>
      </c>
      <c r="D474">
        <v>17</v>
      </c>
      <c r="E474">
        <v>5.1999999999999998E-3</v>
      </c>
      <c r="F474">
        <v>2.12E-2</v>
      </c>
      <c r="G474">
        <v>4.3E-3</v>
      </c>
      <c r="H474">
        <v>1.8800000000000001E-2</v>
      </c>
      <c r="I474">
        <v>7.0000000000000001E-3</v>
      </c>
      <c r="J474">
        <v>8.1199999999999994E-2</v>
      </c>
      <c r="K474">
        <v>3.0200000000000001E-2</v>
      </c>
      <c r="L474">
        <v>0.30769999999999997</v>
      </c>
    </row>
    <row r="475" spans="1:12" x14ac:dyDescent="0.2">
      <c r="A475">
        <v>60</v>
      </c>
      <c r="B475" t="s">
        <v>53</v>
      </c>
      <c r="C475">
        <v>0.25819999999999999</v>
      </c>
      <c r="D475">
        <v>18</v>
      </c>
      <c r="E475">
        <v>1.17E-2</v>
      </c>
      <c r="F475">
        <v>2.1000000000000001E-2</v>
      </c>
      <c r="G475">
        <v>9.5999999999999992E-3</v>
      </c>
      <c r="H475">
        <v>1.84E-2</v>
      </c>
      <c r="I475">
        <v>1.6400000000000001E-2</v>
      </c>
      <c r="J475">
        <v>0.18010000000000001</v>
      </c>
      <c r="K475">
        <v>3.1099999999999999E-2</v>
      </c>
      <c r="L475">
        <v>0.31519999999999998</v>
      </c>
    </row>
    <row r="476" spans="1:12" x14ac:dyDescent="0.2">
      <c r="A476">
        <v>60</v>
      </c>
      <c r="B476" t="s">
        <v>53</v>
      </c>
      <c r="C476">
        <v>0.25819999999999999</v>
      </c>
      <c r="D476">
        <v>19</v>
      </c>
      <c r="E476">
        <v>5.1999999999999998E-3</v>
      </c>
      <c r="F476">
        <v>2.0500000000000001E-2</v>
      </c>
      <c r="G476">
        <v>4.1999999999999997E-3</v>
      </c>
      <c r="H476">
        <v>1.77E-2</v>
      </c>
      <c r="I476">
        <v>7.6E-3</v>
      </c>
      <c r="J476">
        <v>8.7999999999999995E-2</v>
      </c>
      <c r="K476">
        <v>3.1800000000000002E-2</v>
      </c>
      <c r="L476">
        <v>0.32179999999999997</v>
      </c>
    </row>
    <row r="477" spans="1:12" x14ac:dyDescent="0.2">
      <c r="A477">
        <v>60</v>
      </c>
      <c r="B477" t="s">
        <v>53</v>
      </c>
      <c r="C477">
        <v>0.25819999999999999</v>
      </c>
      <c r="D477">
        <v>20</v>
      </c>
      <c r="E477">
        <v>1.04E-2</v>
      </c>
      <c r="F477">
        <v>1.9800000000000002E-2</v>
      </c>
      <c r="G477">
        <v>8.3000000000000001E-3</v>
      </c>
      <c r="H477">
        <v>1.6899999999999998E-2</v>
      </c>
      <c r="I477">
        <v>1.5900000000000001E-2</v>
      </c>
      <c r="J477">
        <v>0.1749</v>
      </c>
      <c r="K477">
        <v>3.2000000000000001E-2</v>
      </c>
      <c r="L477">
        <v>0.32329999999999998</v>
      </c>
    </row>
    <row r="478" spans="1:12" x14ac:dyDescent="0.2">
      <c r="A478">
        <v>60</v>
      </c>
      <c r="B478" t="s">
        <v>53</v>
      </c>
      <c r="C478">
        <v>0.25819999999999999</v>
      </c>
      <c r="D478">
        <v>21</v>
      </c>
      <c r="E478">
        <v>9.1000000000000004E-3</v>
      </c>
      <c r="F478">
        <v>1.9E-2</v>
      </c>
      <c r="G478">
        <v>7.1000000000000004E-3</v>
      </c>
      <c r="H478">
        <v>1.6E-2</v>
      </c>
      <c r="I478">
        <v>1.46E-2</v>
      </c>
      <c r="J478">
        <v>0.1615</v>
      </c>
      <c r="K478">
        <v>3.2300000000000002E-2</v>
      </c>
      <c r="L478">
        <v>0.32550000000000001</v>
      </c>
    </row>
    <row r="479" spans="1:12" x14ac:dyDescent="0.2">
      <c r="A479">
        <v>60</v>
      </c>
      <c r="B479" t="s">
        <v>53</v>
      </c>
      <c r="C479">
        <v>0.25819999999999999</v>
      </c>
      <c r="D479">
        <v>22</v>
      </c>
      <c r="E479">
        <v>6.4999999999999997E-3</v>
      </c>
      <c r="F479">
        <v>1.8100000000000002E-2</v>
      </c>
      <c r="G479">
        <v>5.0000000000000001E-3</v>
      </c>
      <c r="H479">
        <v>1.4999999999999999E-2</v>
      </c>
      <c r="I479">
        <v>1.09E-2</v>
      </c>
      <c r="J479">
        <v>0.12330000000000001</v>
      </c>
      <c r="K479">
        <v>3.2300000000000002E-2</v>
      </c>
      <c r="L479">
        <v>0.32550000000000001</v>
      </c>
    </row>
    <row r="480" spans="1:12" x14ac:dyDescent="0.2">
      <c r="A480">
        <v>60</v>
      </c>
      <c r="B480" t="s">
        <v>53</v>
      </c>
      <c r="C480">
        <v>0.25819999999999999</v>
      </c>
      <c r="D480">
        <v>23</v>
      </c>
      <c r="E480">
        <v>7.7999999999999996E-3</v>
      </c>
      <c r="F480">
        <v>1.7100000000000001E-2</v>
      </c>
      <c r="G480">
        <v>5.8999999999999999E-3</v>
      </c>
      <c r="H480">
        <v>1.4E-2</v>
      </c>
      <c r="I480">
        <v>1.3599999999999999E-2</v>
      </c>
      <c r="J480">
        <v>0.152</v>
      </c>
      <c r="K480">
        <v>3.1899999999999998E-2</v>
      </c>
      <c r="L480">
        <v>0.32219999999999999</v>
      </c>
    </row>
    <row r="481" spans="1:12" x14ac:dyDescent="0.2">
      <c r="A481">
        <v>60</v>
      </c>
      <c r="B481" t="s">
        <v>53</v>
      </c>
      <c r="C481">
        <v>0.25819999999999999</v>
      </c>
      <c r="D481">
        <v>24</v>
      </c>
      <c r="E481">
        <v>1.2999999999999999E-2</v>
      </c>
      <c r="F481">
        <v>1.61E-2</v>
      </c>
      <c r="G481">
        <v>9.5999999999999992E-3</v>
      </c>
      <c r="H481">
        <v>1.2999999999999999E-2</v>
      </c>
      <c r="I481">
        <v>2.3800000000000002E-2</v>
      </c>
      <c r="J481">
        <v>0.25090000000000001</v>
      </c>
      <c r="K481">
        <v>3.15E-2</v>
      </c>
      <c r="L481">
        <v>0.31859999999999999</v>
      </c>
    </row>
    <row r="482" spans="1:12" x14ac:dyDescent="0.2">
      <c r="A482">
        <v>60</v>
      </c>
      <c r="B482" t="s">
        <v>53</v>
      </c>
      <c r="C482">
        <v>0.25819999999999999</v>
      </c>
      <c r="D482">
        <v>25</v>
      </c>
      <c r="E482">
        <v>1.2999999999999999E-2</v>
      </c>
      <c r="F482">
        <v>1.5100000000000001E-2</v>
      </c>
      <c r="G482">
        <v>9.4999999999999998E-3</v>
      </c>
      <c r="H482">
        <v>1.2E-2</v>
      </c>
      <c r="I482">
        <v>2.5100000000000001E-2</v>
      </c>
      <c r="J482">
        <v>0.26319999999999999</v>
      </c>
      <c r="K482">
        <v>3.1300000000000001E-2</v>
      </c>
      <c r="L482">
        <v>0.31690000000000002</v>
      </c>
    </row>
    <row r="483" spans="1:12" x14ac:dyDescent="0.2">
      <c r="A483">
        <v>60</v>
      </c>
      <c r="B483" t="s">
        <v>53</v>
      </c>
      <c r="C483">
        <v>0.25819999999999999</v>
      </c>
      <c r="D483">
        <v>26</v>
      </c>
      <c r="E483">
        <v>6.4999999999999997E-3</v>
      </c>
      <c r="F483">
        <v>1.41E-2</v>
      </c>
      <c r="G483">
        <v>4.5999999999999999E-3</v>
      </c>
      <c r="H483">
        <v>1.0999999999999999E-2</v>
      </c>
      <c r="I483">
        <v>1.3299999999999999E-2</v>
      </c>
      <c r="J483">
        <v>0.14829999999999999</v>
      </c>
      <c r="K483">
        <v>3.1E-2</v>
      </c>
      <c r="L483">
        <v>0.31430000000000002</v>
      </c>
    </row>
    <row r="484" spans="1:12" x14ac:dyDescent="0.2">
      <c r="A484">
        <v>60</v>
      </c>
      <c r="B484" t="s">
        <v>53</v>
      </c>
      <c r="C484">
        <v>0.25819999999999999</v>
      </c>
      <c r="D484">
        <v>27</v>
      </c>
      <c r="E484">
        <v>1.17E-2</v>
      </c>
      <c r="F484">
        <v>1.32E-2</v>
      </c>
      <c r="G484">
        <v>8.2000000000000007E-3</v>
      </c>
      <c r="H484">
        <v>1.0200000000000001E-2</v>
      </c>
      <c r="I484">
        <v>2.5000000000000001E-2</v>
      </c>
      <c r="J484">
        <v>0.26169999999999999</v>
      </c>
      <c r="K484">
        <v>3.0300000000000001E-2</v>
      </c>
      <c r="L484">
        <v>0.30909999999999999</v>
      </c>
    </row>
    <row r="485" spans="1:12" x14ac:dyDescent="0.2">
      <c r="A485">
        <v>60</v>
      </c>
      <c r="B485" t="s">
        <v>53</v>
      </c>
      <c r="C485">
        <v>0.25819999999999999</v>
      </c>
      <c r="D485">
        <v>28</v>
      </c>
      <c r="E485">
        <v>5.1999999999999998E-3</v>
      </c>
      <c r="F485">
        <v>1.23E-2</v>
      </c>
      <c r="G485">
        <v>3.5999999999999999E-3</v>
      </c>
      <c r="H485">
        <v>9.2999999999999992E-3</v>
      </c>
      <c r="I485">
        <v>1.17E-2</v>
      </c>
      <c r="J485">
        <v>0.13200000000000001</v>
      </c>
      <c r="K485">
        <v>0.03</v>
      </c>
      <c r="L485">
        <v>0.30580000000000002</v>
      </c>
    </row>
    <row r="486" spans="1:12" x14ac:dyDescent="0.2">
      <c r="A486">
        <v>60</v>
      </c>
      <c r="B486" t="s">
        <v>53</v>
      </c>
      <c r="C486">
        <v>0.25819999999999999</v>
      </c>
      <c r="D486">
        <v>29</v>
      </c>
      <c r="E486">
        <v>9.1000000000000004E-3</v>
      </c>
      <c r="F486">
        <v>1.14E-2</v>
      </c>
      <c r="G486">
        <v>6.1000000000000004E-3</v>
      </c>
      <c r="H486">
        <v>8.5000000000000006E-3</v>
      </c>
      <c r="I486">
        <v>2.1399999999999999E-2</v>
      </c>
      <c r="J486">
        <v>0.2283</v>
      </c>
      <c r="K486">
        <v>2.9000000000000001E-2</v>
      </c>
      <c r="L486">
        <v>0.29749999999999999</v>
      </c>
    </row>
    <row r="487" spans="1:12" x14ac:dyDescent="0.2">
      <c r="A487">
        <v>60</v>
      </c>
      <c r="B487" t="s">
        <v>53</v>
      </c>
      <c r="C487">
        <v>0.25819999999999999</v>
      </c>
      <c r="D487">
        <v>30</v>
      </c>
      <c r="E487">
        <v>5.1999999999999998E-3</v>
      </c>
      <c r="F487">
        <v>1.06E-2</v>
      </c>
      <c r="G487">
        <v>3.3999999999999998E-3</v>
      </c>
      <c r="H487">
        <v>7.7000000000000002E-3</v>
      </c>
      <c r="I487">
        <v>1.2800000000000001E-2</v>
      </c>
      <c r="J487">
        <v>0.14349999999999999</v>
      </c>
      <c r="K487">
        <v>2.8400000000000002E-2</v>
      </c>
      <c r="L487">
        <v>0.29260000000000003</v>
      </c>
    </row>
    <row r="488" spans="1:12" x14ac:dyDescent="0.2">
      <c r="A488">
        <v>60</v>
      </c>
      <c r="B488" t="s">
        <v>53</v>
      </c>
      <c r="C488">
        <v>0.25819999999999999</v>
      </c>
      <c r="D488">
        <v>31</v>
      </c>
      <c r="E488">
        <v>1.2999999999999999E-2</v>
      </c>
      <c r="F488">
        <v>9.7999999999999997E-3</v>
      </c>
      <c r="G488">
        <v>8.3000000000000001E-3</v>
      </c>
      <c r="H488">
        <v>7.0000000000000001E-3</v>
      </c>
      <c r="I488">
        <v>3.3399999999999999E-2</v>
      </c>
      <c r="J488">
        <v>0.33460000000000001</v>
      </c>
      <c r="K488">
        <v>2.75E-2</v>
      </c>
      <c r="L488">
        <v>0.28399999999999997</v>
      </c>
    </row>
    <row r="489" spans="1:12" x14ac:dyDescent="0.2">
      <c r="A489">
        <v>60</v>
      </c>
      <c r="B489" t="s">
        <v>53</v>
      </c>
      <c r="C489">
        <v>0.25819999999999999</v>
      </c>
      <c r="D489">
        <v>32</v>
      </c>
      <c r="E489">
        <v>5.1999999999999998E-3</v>
      </c>
      <c r="F489">
        <v>9.1000000000000004E-3</v>
      </c>
      <c r="G489">
        <v>3.2000000000000002E-3</v>
      </c>
      <c r="H489">
        <v>6.4000000000000003E-3</v>
      </c>
      <c r="I489">
        <v>1.4200000000000001E-2</v>
      </c>
      <c r="J489">
        <v>0.1575</v>
      </c>
      <c r="K489">
        <v>2.7199999999999998E-2</v>
      </c>
      <c r="L489">
        <v>0.28170000000000001</v>
      </c>
    </row>
    <row r="490" spans="1:12" x14ac:dyDescent="0.2">
      <c r="A490">
        <v>60</v>
      </c>
      <c r="B490" t="s">
        <v>53</v>
      </c>
      <c r="C490">
        <v>0.25819999999999999</v>
      </c>
      <c r="D490">
        <v>33</v>
      </c>
      <c r="E490">
        <v>1.04E-2</v>
      </c>
      <c r="F490">
        <v>8.3999999999999995E-3</v>
      </c>
      <c r="G490">
        <v>6.3E-3</v>
      </c>
      <c r="H490">
        <v>5.7999999999999996E-3</v>
      </c>
      <c r="I490">
        <v>2.9499999999999998E-2</v>
      </c>
      <c r="J490">
        <v>0.30199999999999999</v>
      </c>
      <c r="K490">
        <v>2.6200000000000001E-2</v>
      </c>
      <c r="L490">
        <v>0.27310000000000001</v>
      </c>
    </row>
    <row r="491" spans="1:12" x14ac:dyDescent="0.2">
      <c r="A491">
        <v>60</v>
      </c>
      <c r="B491" t="s">
        <v>53</v>
      </c>
      <c r="C491">
        <v>0.25819999999999999</v>
      </c>
      <c r="D491">
        <v>34</v>
      </c>
      <c r="E491">
        <v>1.17E-2</v>
      </c>
      <c r="F491">
        <v>7.7999999999999996E-3</v>
      </c>
      <c r="G491">
        <v>6.8999999999999999E-3</v>
      </c>
      <c r="H491">
        <v>5.1999999999999998E-3</v>
      </c>
      <c r="I491">
        <v>3.5099999999999999E-2</v>
      </c>
      <c r="J491">
        <v>0.34860000000000002</v>
      </c>
      <c r="K491">
        <v>2.5899999999999999E-2</v>
      </c>
      <c r="L491">
        <v>0.2697</v>
      </c>
    </row>
    <row r="492" spans="1:12" x14ac:dyDescent="0.2">
      <c r="A492">
        <v>60</v>
      </c>
      <c r="B492" t="s">
        <v>53</v>
      </c>
      <c r="C492">
        <v>0.25819999999999999</v>
      </c>
      <c r="D492">
        <v>35</v>
      </c>
      <c r="E492">
        <v>7.7999999999999996E-3</v>
      </c>
      <c r="F492">
        <v>7.1999999999999998E-3</v>
      </c>
      <c r="G492">
        <v>4.4999999999999997E-3</v>
      </c>
      <c r="H492">
        <v>4.7000000000000002E-3</v>
      </c>
      <c r="I492">
        <v>2.4799999999999999E-2</v>
      </c>
      <c r="J492">
        <v>0.2606</v>
      </c>
      <c r="K492">
        <v>2.5499999999999998E-2</v>
      </c>
      <c r="L492">
        <v>0.26629999999999998</v>
      </c>
    </row>
    <row r="493" spans="1:12" x14ac:dyDescent="0.2">
      <c r="A493">
        <v>60</v>
      </c>
      <c r="B493" t="s">
        <v>53</v>
      </c>
      <c r="C493">
        <v>0.25819999999999999</v>
      </c>
      <c r="D493">
        <v>36</v>
      </c>
      <c r="E493">
        <v>7.7999999999999996E-3</v>
      </c>
      <c r="F493">
        <v>6.7000000000000002E-3</v>
      </c>
      <c r="G493">
        <v>4.3E-3</v>
      </c>
      <c r="H493">
        <v>4.3E-3</v>
      </c>
      <c r="I493">
        <v>2.6100000000000002E-2</v>
      </c>
      <c r="J493">
        <v>0.27189999999999998</v>
      </c>
      <c r="K493">
        <v>2.5000000000000001E-2</v>
      </c>
      <c r="L493">
        <v>0.26219999999999999</v>
      </c>
    </row>
    <row r="494" spans="1:12" x14ac:dyDescent="0.2">
      <c r="A494">
        <v>60</v>
      </c>
      <c r="B494" t="s">
        <v>53</v>
      </c>
      <c r="C494">
        <v>0.25819999999999999</v>
      </c>
      <c r="D494">
        <v>37</v>
      </c>
      <c r="E494">
        <v>9.1000000000000004E-3</v>
      </c>
      <c r="F494">
        <v>6.1999999999999998E-3</v>
      </c>
      <c r="G494">
        <v>4.8999999999999998E-3</v>
      </c>
      <c r="H494">
        <v>3.8999999999999998E-3</v>
      </c>
      <c r="I494">
        <v>3.2000000000000001E-2</v>
      </c>
      <c r="J494">
        <v>0.32319999999999999</v>
      </c>
      <c r="K494">
        <v>2.4500000000000001E-2</v>
      </c>
      <c r="L494">
        <v>0.25729999999999997</v>
      </c>
    </row>
    <row r="495" spans="1:12" x14ac:dyDescent="0.2">
      <c r="A495">
        <v>60</v>
      </c>
      <c r="B495" t="s">
        <v>53</v>
      </c>
      <c r="C495">
        <v>0.25819999999999999</v>
      </c>
      <c r="D495">
        <v>38</v>
      </c>
      <c r="E495">
        <v>6.4999999999999997E-3</v>
      </c>
      <c r="F495">
        <v>5.7000000000000002E-3</v>
      </c>
      <c r="G495">
        <v>3.3999999999999998E-3</v>
      </c>
      <c r="H495">
        <v>3.5000000000000001E-3</v>
      </c>
      <c r="I495">
        <v>2.4199999999999999E-2</v>
      </c>
      <c r="J495">
        <v>0.25440000000000002</v>
      </c>
      <c r="K495">
        <v>2.3900000000000001E-2</v>
      </c>
      <c r="L495">
        <v>0.25230000000000002</v>
      </c>
    </row>
    <row r="496" spans="1:12" x14ac:dyDescent="0.2">
      <c r="A496">
        <v>60</v>
      </c>
      <c r="B496" t="s">
        <v>53</v>
      </c>
      <c r="C496">
        <v>0.25819999999999999</v>
      </c>
      <c r="D496">
        <v>39</v>
      </c>
      <c r="E496">
        <v>5.1999999999999998E-3</v>
      </c>
      <c r="F496">
        <v>5.3E-3</v>
      </c>
      <c r="G496">
        <v>2.5999999999999999E-3</v>
      </c>
      <c r="H496">
        <v>3.0999999999999999E-3</v>
      </c>
      <c r="I496">
        <v>2.0299999999999999E-2</v>
      </c>
      <c r="J496">
        <v>0.2177</v>
      </c>
      <c r="K496">
        <v>2.35E-2</v>
      </c>
      <c r="L496">
        <v>0.248</v>
      </c>
    </row>
    <row r="497" spans="1:12" x14ac:dyDescent="0.2">
      <c r="A497">
        <v>60</v>
      </c>
      <c r="B497" t="s">
        <v>53</v>
      </c>
      <c r="C497">
        <v>0.25819999999999999</v>
      </c>
      <c r="D497">
        <v>40</v>
      </c>
      <c r="E497">
        <v>1.17E-2</v>
      </c>
      <c r="F497">
        <v>4.8999999999999998E-3</v>
      </c>
      <c r="G497">
        <v>5.5999999999999999E-3</v>
      </c>
      <c r="H497">
        <v>2.8E-3</v>
      </c>
      <c r="I497">
        <v>4.7500000000000001E-2</v>
      </c>
      <c r="J497">
        <v>0.44240000000000002</v>
      </c>
      <c r="K497">
        <v>2.2800000000000001E-2</v>
      </c>
      <c r="L497">
        <v>0.2417</v>
      </c>
    </row>
    <row r="498" spans="1:12" x14ac:dyDescent="0.2">
      <c r="A498">
        <v>60</v>
      </c>
      <c r="B498" t="s">
        <v>53</v>
      </c>
      <c r="C498">
        <v>0.25819999999999999</v>
      </c>
      <c r="D498">
        <v>41</v>
      </c>
      <c r="E498">
        <v>5.1999999999999998E-3</v>
      </c>
      <c r="F498">
        <v>4.4999999999999997E-3</v>
      </c>
      <c r="G498">
        <v>2.3999999999999998E-3</v>
      </c>
      <c r="H498">
        <v>2.5000000000000001E-3</v>
      </c>
      <c r="I498">
        <v>2.2599999999999999E-2</v>
      </c>
      <c r="J498">
        <v>0.2404</v>
      </c>
      <c r="K498">
        <v>2.2599999999999999E-2</v>
      </c>
      <c r="L498">
        <v>0.24010000000000001</v>
      </c>
    </row>
    <row r="499" spans="1:12" x14ac:dyDescent="0.2">
      <c r="A499">
        <v>60</v>
      </c>
      <c r="B499" t="s">
        <v>53</v>
      </c>
      <c r="C499">
        <v>0.25819999999999999</v>
      </c>
      <c r="D499">
        <v>42</v>
      </c>
      <c r="E499">
        <v>1.04E-2</v>
      </c>
      <c r="F499">
        <v>4.1999999999999997E-3</v>
      </c>
      <c r="G499">
        <v>4.5999999999999999E-3</v>
      </c>
      <c r="H499">
        <v>2.3E-3</v>
      </c>
      <c r="I499">
        <v>4.7300000000000002E-2</v>
      </c>
      <c r="J499">
        <v>0.44090000000000001</v>
      </c>
      <c r="K499">
        <v>2.2200000000000001E-2</v>
      </c>
      <c r="L499">
        <v>0.23649999999999999</v>
      </c>
    </row>
    <row r="500" spans="1:12" x14ac:dyDescent="0.2">
      <c r="A500">
        <v>60</v>
      </c>
      <c r="B500" t="s">
        <v>53</v>
      </c>
      <c r="C500">
        <v>0.25819999999999999</v>
      </c>
      <c r="D500">
        <v>43</v>
      </c>
      <c r="E500">
        <v>9.1000000000000004E-3</v>
      </c>
      <c r="F500">
        <v>3.8999999999999998E-3</v>
      </c>
      <c r="G500">
        <v>3.8E-3</v>
      </c>
      <c r="H500">
        <v>2E-3</v>
      </c>
      <c r="I500">
        <v>4.4299999999999999E-2</v>
      </c>
      <c r="J500">
        <v>0.41970000000000002</v>
      </c>
      <c r="K500">
        <v>2.23E-2</v>
      </c>
      <c r="L500">
        <v>0.2374</v>
      </c>
    </row>
    <row r="501" spans="1:12" x14ac:dyDescent="0.2">
      <c r="A501">
        <v>60</v>
      </c>
      <c r="B501" t="s">
        <v>53</v>
      </c>
      <c r="C501">
        <v>0.25819999999999999</v>
      </c>
      <c r="D501">
        <v>44</v>
      </c>
      <c r="E501">
        <v>6.4999999999999997E-3</v>
      </c>
      <c r="F501">
        <v>3.5999999999999999E-3</v>
      </c>
      <c r="G501">
        <v>2.5999999999999999E-3</v>
      </c>
      <c r="H501">
        <v>1.8E-3</v>
      </c>
      <c r="I501">
        <v>3.3799999999999997E-2</v>
      </c>
      <c r="J501">
        <v>0.3382</v>
      </c>
      <c r="K501">
        <v>2.2200000000000001E-2</v>
      </c>
      <c r="L501">
        <v>0.23649999999999999</v>
      </c>
    </row>
    <row r="502" spans="1:12" x14ac:dyDescent="0.2">
      <c r="A502">
        <v>60</v>
      </c>
      <c r="B502" t="s">
        <v>53</v>
      </c>
      <c r="C502">
        <v>0.25819999999999999</v>
      </c>
      <c r="D502">
        <v>45</v>
      </c>
      <c r="E502">
        <v>7.7999999999999996E-3</v>
      </c>
      <c r="F502">
        <v>3.3E-3</v>
      </c>
      <c r="G502">
        <v>3.0000000000000001E-3</v>
      </c>
      <c r="H502">
        <v>1.6000000000000001E-3</v>
      </c>
      <c r="I502">
        <v>4.2799999999999998E-2</v>
      </c>
      <c r="J502">
        <v>0.40860000000000002</v>
      </c>
      <c r="K502">
        <v>2.18E-2</v>
      </c>
      <c r="L502">
        <v>0.2321</v>
      </c>
    </row>
    <row r="503" spans="1:12" x14ac:dyDescent="0.2">
      <c r="A503">
        <v>60</v>
      </c>
      <c r="B503" t="s">
        <v>53</v>
      </c>
      <c r="C503">
        <v>0.25819999999999999</v>
      </c>
      <c r="D503">
        <v>46</v>
      </c>
      <c r="E503">
        <v>1.2999999999999999E-2</v>
      </c>
      <c r="F503">
        <v>3.0999999999999999E-3</v>
      </c>
      <c r="G503">
        <v>4.5999999999999999E-3</v>
      </c>
      <c r="H503">
        <v>1.4E-3</v>
      </c>
      <c r="I503">
        <v>7.5999999999999998E-2</v>
      </c>
      <c r="J503">
        <v>0.61270000000000002</v>
      </c>
      <c r="K503">
        <v>2.2100000000000002E-2</v>
      </c>
      <c r="L503">
        <v>0.2349</v>
      </c>
    </row>
    <row r="504" spans="1:12" x14ac:dyDescent="0.2">
      <c r="A504">
        <v>60</v>
      </c>
      <c r="B504" t="s">
        <v>53</v>
      </c>
      <c r="C504">
        <v>0.25819999999999999</v>
      </c>
      <c r="D504">
        <v>47</v>
      </c>
      <c r="E504">
        <v>1.2999999999999999E-2</v>
      </c>
      <c r="F504">
        <v>2.8E-3</v>
      </c>
      <c r="G504">
        <v>4.4000000000000003E-3</v>
      </c>
      <c r="H504">
        <v>1.1999999999999999E-3</v>
      </c>
      <c r="I504">
        <v>8.3900000000000002E-2</v>
      </c>
      <c r="J504">
        <v>0.65059999999999996</v>
      </c>
      <c r="K504">
        <v>2.23E-2</v>
      </c>
      <c r="L504">
        <v>0.2374</v>
      </c>
    </row>
    <row r="505" spans="1:12" x14ac:dyDescent="0.2">
      <c r="A505">
        <v>60</v>
      </c>
      <c r="B505" t="s">
        <v>53</v>
      </c>
      <c r="C505">
        <v>0.25819999999999999</v>
      </c>
      <c r="D505">
        <v>48</v>
      </c>
      <c r="E505">
        <v>6.4999999999999997E-3</v>
      </c>
      <c r="F505">
        <v>2.5999999999999999E-3</v>
      </c>
      <c r="G505">
        <v>2E-3</v>
      </c>
      <c r="H505">
        <v>1.1000000000000001E-3</v>
      </c>
      <c r="I505">
        <v>4.6699999999999998E-2</v>
      </c>
      <c r="J505">
        <v>0.43669999999999998</v>
      </c>
      <c r="K505">
        <v>2.35E-2</v>
      </c>
      <c r="L505">
        <v>0.24809999999999999</v>
      </c>
    </row>
    <row r="506" spans="1:12" x14ac:dyDescent="0.2">
      <c r="A506">
        <v>60</v>
      </c>
      <c r="B506" t="s">
        <v>53</v>
      </c>
      <c r="C506">
        <v>0.25819999999999999</v>
      </c>
      <c r="D506">
        <v>49</v>
      </c>
      <c r="E506">
        <v>1.17E-2</v>
      </c>
      <c r="F506">
        <v>2.3999999999999998E-3</v>
      </c>
      <c r="G506">
        <v>3.3999999999999998E-3</v>
      </c>
      <c r="H506">
        <v>1E-3</v>
      </c>
      <c r="I506">
        <v>8.9899999999999994E-2</v>
      </c>
      <c r="J506">
        <v>0.67710000000000004</v>
      </c>
      <c r="K506">
        <v>2.3599999999999999E-2</v>
      </c>
      <c r="L506">
        <v>0.2495</v>
      </c>
    </row>
    <row r="507" spans="1:12" x14ac:dyDescent="0.2">
      <c r="A507">
        <v>60</v>
      </c>
      <c r="B507" t="s">
        <v>53</v>
      </c>
      <c r="C507">
        <v>0.25819999999999999</v>
      </c>
      <c r="D507">
        <v>50</v>
      </c>
      <c r="E507">
        <v>5.1999999999999998E-3</v>
      </c>
      <c r="F507">
        <v>2.3E-3</v>
      </c>
      <c r="G507">
        <v>1.4E-3</v>
      </c>
      <c r="H507">
        <v>8.9999999999999998E-4</v>
      </c>
      <c r="I507">
        <v>4.48E-2</v>
      </c>
      <c r="J507">
        <v>0.42299999999999999</v>
      </c>
      <c r="K507">
        <v>2.5999999999999999E-2</v>
      </c>
      <c r="L507">
        <v>0.27079999999999999</v>
      </c>
    </row>
    <row r="508" spans="1:12" x14ac:dyDescent="0.2">
      <c r="A508">
        <v>60</v>
      </c>
      <c r="B508" t="s">
        <v>53</v>
      </c>
      <c r="C508">
        <v>0.25819999999999999</v>
      </c>
      <c r="D508">
        <v>51</v>
      </c>
      <c r="E508">
        <v>9.1000000000000004E-3</v>
      </c>
      <c r="F508">
        <v>2.0999999999999999E-3</v>
      </c>
      <c r="G508">
        <v>2.2000000000000001E-3</v>
      </c>
      <c r="H508">
        <v>8.0000000000000004E-4</v>
      </c>
      <c r="I508">
        <v>8.3799999999999999E-2</v>
      </c>
      <c r="J508">
        <v>0.64990000000000003</v>
      </c>
      <c r="K508">
        <v>2.5999999999999999E-2</v>
      </c>
      <c r="L508">
        <v>0.2712</v>
      </c>
    </row>
    <row r="509" spans="1:12" x14ac:dyDescent="0.2">
      <c r="A509">
        <v>60</v>
      </c>
      <c r="B509" t="s">
        <v>53</v>
      </c>
      <c r="C509">
        <v>0.25819999999999999</v>
      </c>
      <c r="D509">
        <v>52</v>
      </c>
      <c r="E509">
        <v>5.1999999999999998E-3</v>
      </c>
      <c r="F509">
        <v>1.9E-3</v>
      </c>
      <c r="G509">
        <v>1.1000000000000001E-3</v>
      </c>
      <c r="H509">
        <v>5.9999999999999995E-4</v>
      </c>
      <c r="I509">
        <v>5.33E-2</v>
      </c>
      <c r="J509">
        <v>0.48180000000000001</v>
      </c>
      <c r="K509">
        <v>2.7099999999999999E-2</v>
      </c>
      <c r="L509">
        <v>0.28050000000000003</v>
      </c>
    </row>
    <row r="510" spans="1:12" x14ac:dyDescent="0.2">
      <c r="A510">
        <v>60</v>
      </c>
      <c r="B510" t="s">
        <v>53</v>
      </c>
      <c r="C510">
        <v>0.25819999999999999</v>
      </c>
      <c r="D510">
        <v>53</v>
      </c>
      <c r="E510">
        <v>1.2999999999999999E-2</v>
      </c>
      <c r="F510">
        <v>1.8E-3</v>
      </c>
      <c r="G510">
        <v>2.5000000000000001E-3</v>
      </c>
      <c r="H510">
        <v>5.9999999999999995E-4</v>
      </c>
      <c r="I510">
        <v>0.14349999999999999</v>
      </c>
      <c r="J510">
        <v>0.84399999999999997</v>
      </c>
      <c r="K510">
        <v>2.87E-2</v>
      </c>
      <c r="L510">
        <v>0.29470000000000002</v>
      </c>
    </row>
    <row r="511" spans="1:12" x14ac:dyDescent="0.2">
      <c r="A511">
        <v>60</v>
      </c>
      <c r="B511" t="s">
        <v>53</v>
      </c>
      <c r="C511">
        <v>0.25819999999999999</v>
      </c>
      <c r="D511">
        <v>54</v>
      </c>
      <c r="E511">
        <v>1.2999999999999999E-2</v>
      </c>
      <c r="F511">
        <v>1.6999999999999999E-3</v>
      </c>
      <c r="G511">
        <v>2.2000000000000001E-3</v>
      </c>
      <c r="H511">
        <v>5.0000000000000001E-4</v>
      </c>
      <c r="I511">
        <v>0.17100000000000001</v>
      </c>
      <c r="J511">
        <v>0.89459999999999995</v>
      </c>
      <c r="K511">
        <v>3.39E-2</v>
      </c>
      <c r="L511">
        <v>0.33860000000000001</v>
      </c>
    </row>
    <row r="512" spans="1:12" x14ac:dyDescent="0.2">
      <c r="A512">
        <v>60</v>
      </c>
      <c r="B512" t="s">
        <v>53</v>
      </c>
      <c r="C512">
        <v>0.25819999999999999</v>
      </c>
      <c r="D512">
        <v>55</v>
      </c>
      <c r="E512">
        <v>6.4999999999999997E-3</v>
      </c>
      <c r="F512">
        <v>1.6000000000000001E-3</v>
      </c>
      <c r="G512">
        <v>8.9999999999999998E-4</v>
      </c>
      <c r="H512">
        <v>4.0000000000000002E-4</v>
      </c>
      <c r="I512">
        <v>0.1055</v>
      </c>
      <c r="J512">
        <v>0.73760000000000003</v>
      </c>
      <c r="K512">
        <v>4.1799999999999997E-2</v>
      </c>
      <c r="L512">
        <v>0.40100000000000002</v>
      </c>
    </row>
    <row r="513" spans="1:12" x14ac:dyDescent="0.2">
      <c r="A513">
        <v>60</v>
      </c>
      <c r="B513" t="s">
        <v>53</v>
      </c>
      <c r="C513">
        <v>0.25819999999999999</v>
      </c>
      <c r="D513">
        <v>56</v>
      </c>
      <c r="E513">
        <v>1.17E-2</v>
      </c>
      <c r="F513">
        <v>1.4E-3</v>
      </c>
      <c r="G513">
        <v>1.2999999999999999E-3</v>
      </c>
      <c r="H513">
        <v>2.9999999999999997E-4</v>
      </c>
      <c r="I513">
        <v>0.217</v>
      </c>
      <c r="J513">
        <v>0.94689999999999996</v>
      </c>
      <c r="K513">
        <v>4.53E-2</v>
      </c>
      <c r="L513">
        <v>0.42680000000000001</v>
      </c>
    </row>
    <row r="514" spans="1:12" x14ac:dyDescent="0.2">
      <c r="A514">
        <v>60</v>
      </c>
      <c r="B514" t="s">
        <v>53</v>
      </c>
      <c r="C514">
        <v>0.25819999999999999</v>
      </c>
      <c r="D514">
        <v>57</v>
      </c>
      <c r="E514">
        <v>5.1999999999999998E-3</v>
      </c>
      <c r="F514">
        <v>1.2999999999999999E-3</v>
      </c>
      <c r="G514">
        <v>4.0000000000000002E-4</v>
      </c>
      <c r="H514">
        <v>2.9999999999999997E-4</v>
      </c>
      <c r="I514">
        <v>0.12479999999999999</v>
      </c>
      <c r="J514">
        <v>0.79810000000000003</v>
      </c>
      <c r="K514">
        <v>6.1199999999999997E-2</v>
      </c>
      <c r="L514">
        <v>0.53159999999999996</v>
      </c>
    </row>
    <row r="515" spans="1:12" x14ac:dyDescent="0.2">
      <c r="A515">
        <v>60</v>
      </c>
      <c r="B515" t="s">
        <v>53</v>
      </c>
      <c r="C515">
        <v>0.25819999999999999</v>
      </c>
      <c r="D515">
        <v>58</v>
      </c>
      <c r="E515">
        <v>9.1000000000000004E-3</v>
      </c>
      <c r="F515">
        <v>1.2999999999999999E-3</v>
      </c>
      <c r="G515">
        <v>5.0000000000000001E-4</v>
      </c>
      <c r="H515">
        <v>2.0000000000000001E-4</v>
      </c>
      <c r="I515">
        <v>0.25009999999999999</v>
      </c>
      <c r="J515">
        <v>0.96840000000000004</v>
      </c>
      <c r="K515">
        <v>8.3799999999999999E-2</v>
      </c>
      <c r="L515">
        <v>0.65</v>
      </c>
    </row>
    <row r="516" spans="1:12" x14ac:dyDescent="0.2">
      <c r="A516">
        <v>60</v>
      </c>
      <c r="B516" t="s">
        <v>53</v>
      </c>
      <c r="C516">
        <v>0.25819999999999999</v>
      </c>
      <c r="D516">
        <v>59</v>
      </c>
      <c r="E516">
        <v>5.1999999999999998E-3</v>
      </c>
      <c r="F516">
        <v>1.1999999999999999E-3</v>
      </c>
      <c r="G516">
        <v>2.0000000000000001E-4</v>
      </c>
      <c r="H516">
        <v>2.0000000000000001E-4</v>
      </c>
      <c r="I516">
        <v>0.18279999999999999</v>
      </c>
      <c r="J516">
        <v>0.91120000000000001</v>
      </c>
      <c r="K516">
        <v>0.13969999999999999</v>
      </c>
      <c r="L516">
        <v>0.83560000000000001</v>
      </c>
    </row>
    <row r="517" spans="1:12" x14ac:dyDescent="0.2">
      <c r="A517">
        <v>60</v>
      </c>
      <c r="B517" t="s">
        <v>53</v>
      </c>
      <c r="C517">
        <v>0.25819999999999999</v>
      </c>
      <c r="D517">
        <v>60</v>
      </c>
      <c r="E517">
        <v>1.2999999999999999E-2</v>
      </c>
      <c r="F517">
        <v>1.1000000000000001E-3</v>
      </c>
      <c r="G517">
        <v>0</v>
      </c>
      <c r="H517">
        <v>2.0000000000000001E-4</v>
      </c>
      <c r="I517">
        <v>0</v>
      </c>
      <c r="J517">
        <v>0</v>
      </c>
      <c r="K517">
        <v>0.28239999999999998</v>
      </c>
      <c r="L517">
        <v>0.98140000000000005</v>
      </c>
    </row>
    <row r="518" spans="1:12" x14ac:dyDescent="0.2">
      <c r="A518">
        <v>60</v>
      </c>
      <c r="B518" t="s">
        <v>103</v>
      </c>
      <c r="C518">
        <v>0.2616</v>
      </c>
      <c r="D518">
        <v>1</v>
      </c>
      <c r="E518">
        <v>8.0000000000000002E-3</v>
      </c>
      <c r="F518">
        <v>0</v>
      </c>
      <c r="G518">
        <v>7.9000000000000008E-3</v>
      </c>
      <c r="H518">
        <v>0</v>
      </c>
      <c r="I518">
        <v>8.0000000000000002E-3</v>
      </c>
      <c r="J518">
        <v>9.1899999999999996E-2</v>
      </c>
      <c r="K518">
        <v>0</v>
      </c>
      <c r="L518">
        <v>0</v>
      </c>
    </row>
    <row r="519" spans="1:12" x14ac:dyDescent="0.2">
      <c r="A519">
        <v>60</v>
      </c>
      <c r="B519" t="s">
        <v>103</v>
      </c>
      <c r="C519">
        <v>0.2616</v>
      </c>
      <c r="D519">
        <v>2</v>
      </c>
      <c r="E519">
        <v>0.01</v>
      </c>
      <c r="F519">
        <v>0</v>
      </c>
      <c r="G519">
        <v>9.7999999999999997E-3</v>
      </c>
      <c r="H519">
        <v>0</v>
      </c>
      <c r="I519">
        <v>1.01E-2</v>
      </c>
      <c r="J519">
        <v>0.1145</v>
      </c>
      <c r="K519">
        <v>0</v>
      </c>
      <c r="L519">
        <v>0</v>
      </c>
    </row>
    <row r="520" spans="1:12" x14ac:dyDescent="0.2">
      <c r="A520">
        <v>60</v>
      </c>
      <c r="B520" t="s">
        <v>103</v>
      </c>
      <c r="C520">
        <v>0.2616</v>
      </c>
      <c r="D520">
        <v>3</v>
      </c>
      <c r="E520">
        <v>8.0000000000000002E-3</v>
      </c>
      <c r="F520">
        <v>0</v>
      </c>
      <c r="G520">
        <v>7.7999999999999996E-3</v>
      </c>
      <c r="H520">
        <v>0</v>
      </c>
      <c r="I520">
        <v>8.0999999999999996E-3</v>
      </c>
      <c r="J520">
        <v>9.35E-2</v>
      </c>
      <c r="K520">
        <v>0</v>
      </c>
      <c r="L520">
        <v>0</v>
      </c>
    </row>
    <row r="521" spans="1:12" x14ac:dyDescent="0.2">
      <c r="A521">
        <v>60</v>
      </c>
      <c r="B521" t="s">
        <v>103</v>
      </c>
      <c r="C521">
        <v>0.2616</v>
      </c>
      <c r="D521">
        <v>4</v>
      </c>
      <c r="E521">
        <v>8.0000000000000002E-3</v>
      </c>
      <c r="F521">
        <v>1E-4</v>
      </c>
      <c r="G521">
        <v>7.7000000000000002E-3</v>
      </c>
      <c r="H521">
        <v>1E-4</v>
      </c>
      <c r="I521">
        <v>8.2000000000000007E-3</v>
      </c>
      <c r="J521">
        <v>9.4200000000000006E-2</v>
      </c>
      <c r="K521">
        <v>1E-4</v>
      </c>
      <c r="L521">
        <v>1.2999999999999999E-3</v>
      </c>
    </row>
    <row r="522" spans="1:12" x14ac:dyDescent="0.2">
      <c r="A522">
        <v>60</v>
      </c>
      <c r="B522" t="s">
        <v>103</v>
      </c>
      <c r="C522">
        <v>0.2616</v>
      </c>
      <c r="D522">
        <v>5</v>
      </c>
      <c r="E522">
        <v>0.01</v>
      </c>
      <c r="F522">
        <v>2.0000000000000001E-4</v>
      </c>
      <c r="G522">
        <v>9.5999999999999992E-3</v>
      </c>
      <c r="H522">
        <v>2.0000000000000001E-4</v>
      </c>
      <c r="I522">
        <v>1.04E-2</v>
      </c>
      <c r="J522">
        <v>0.1174</v>
      </c>
      <c r="K522">
        <v>2.0000000000000001E-4</v>
      </c>
      <c r="L522">
        <v>2.5999999999999999E-3</v>
      </c>
    </row>
    <row r="523" spans="1:12" x14ac:dyDescent="0.2">
      <c r="A523">
        <v>60</v>
      </c>
      <c r="B523" t="s">
        <v>103</v>
      </c>
      <c r="C523">
        <v>0.2616</v>
      </c>
      <c r="D523">
        <v>6</v>
      </c>
      <c r="E523">
        <v>4.0000000000000001E-3</v>
      </c>
      <c r="F523">
        <v>4.0000000000000002E-4</v>
      </c>
      <c r="G523">
        <v>3.8E-3</v>
      </c>
      <c r="H523">
        <v>4.0000000000000002E-4</v>
      </c>
      <c r="I523">
        <v>4.1999999999999997E-3</v>
      </c>
      <c r="J523">
        <v>4.9099999999999998E-2</v>
      </c>
      <c r="K523">
        <v>4.0000000000000002E-4</v>
      </c>
      <c r="L523">
        <v>5.1999999999999998E-3</v>
      </c>
    </row>
    <row r="524" spans="1:12" x14ac:dyDescent="0.2">
      <c r="A524">
        <v>60</v>
      </c>
      <c r="B524" t="s">
        <v>103</v>
      </c>
      <c r="C524">
        <v>0.2616</v>
      </c>
      <c r="D524">
        <v>7</v>
      </c>
      <c r="E524">
        <v>5.0000000000000001E-3</v>
      </c>
      <c r="F524">
        <v>6.9999999999999999E-4</v>
      </c>
      <c r="G524">
        <v>4.7000000000000002E-3</v>
      </c>
      <c r="H524">
        <v>6.9999999999999999E-4</v>
      </c>
      <c r="I524">
        <v>5.3E-3</v>
      </c>
      <c r="J524">
        <v>6.13E-2</v>
      </c>
      <c r="K524">
        <v>8.0000000000000004E-4</v>
      </c>
      <c r="L524">
        <v>9.1000000000000004E-3</v>
      </c>
    </row>
    <row r="525" spans="1:12" x14ac:dyDescent="0.2">
      <c r="A525">
        <v>60</v>
      </c>
      <c r="B525" t="s">
        <v>103</v>
      </c>
      <c r="C525">
        <v>0.2616</v>
      </c>
      <c r="D525">
        <v>8</v>
      </c>
      <c r="E525">
        <v>7.0000000000000001E-3</v>
      </c>
      <c r="F525">
        <v>1.1000000000000001E-3</v>
      </c>
      <c r="G525">
        <v>6.4999999999999997E-3</v>
      </c>
      <c r="H525">
        <v>1.1000000000000001E-3</v>
      </c>
      <c r="I525">
        <v>7.4000000000000003E-3</v>
      </c>
      <c r="J525">
        <v>8.5300000000000001E-2</v>
      </c>
      <c r="K525">
        <v>1.1999999999999999E-3</v>
      </c>
      <c r="L525">
        <v>1.44E-2</v>
      </c>
    </row>
    <row r="526" spans="1:12" x14ac:dyDescent="0.2">
      <c r="A526">
        <v>60</v>
      </c>
      <c r="B526" t="s">
        <v>103</v>
      </c>
      <c r="C526">
        <v>0.2616</v>
      </c>
      <c r="D526">
        <v>9</v>
      </c>
      <c r="E526">
        <v>5.0000000000000001E-3</v>
      </c>
      <c r="F526">
        <v>1.6000000000000001E-3</v>
      </c>
      <c r="G526">
        <v>4.5999999999999999E-3</v>
      </c>
      <c r="H526">
        <v>1.5E-3</v>
      </c>
      <c r="I526">
        <v>5.3E-3</v>
      </c>
      <c r="J526">
        <v>6.2100000000000002E-2</v>
      </c>
      <c r="K526">
        <v>1.8E-3</v>
      </c>
      <c r="L526">
        <v>2.1100000000000001E-2</v>
      </c>
    </row>
    <row r="527" spans="1:12" x14ac:dyDescent="0.2">
      <c r="A527">
        <v>60</v>
      </c>
      <c r="B527" t="s">
        <v>103</v>
      </c>
      <c r="C527">
        <v>0.2616</v>
      </c>
      <c r="D527">
        <v>10</v>
      </c>
      <c r="E527">
        <v>8.0000000000000002E-3</v>
      </c>
      <c r="F527">
        <v>2.2000000000000001E-3</v>
      </c>
      <c r="G527">
        <v>7.3000000000000001E-3</v>
      </c>
      <c r="H527">
        <v>2.0999999999999999E-3</v>
      </c>
      <c r="I527">
        <v>8.6E-3</v>
      </c>
      <c r="J527">
        <v>9.8400000000000001E-2</v>
      </c>
      <c r="K527">
        <v>2.5000000000000001E-3</v>
      </c>
      <c r="L527">
        <v>2.9100000000000001E-2</v>
      </c>
    </row>
    <row r="528" spans="1:12" x14ac:dyDescent="0.2">
      <c r="A528">
        <v>60</v>
      </c>
      <c r="B528" t="s">
        <v>103</v>
      </c>
      <c r="C528">
        <v>0.2616</v>
      </c>
      <c r="D528">
        <v>11</v>
      </c>
      <c r="E528">
        <v>6.0000000000000001E-3</v>
      </c>
      <c r="F528">
        <v>3.0000000000000001E-3</v>
      </c>
      <c r="G528">
        <v>5.4000000000000003E-3</v>
      </c>
      <c r="H528">
        <v>2.8E-3</v>
      </c>
      <c r="I528">
        <v>6.4999999999999997E-3</v>
      </c>
      <c r="J528">
        <v>7.5399999999999995E-2</v>
      </c>
      <c r="K528">
        <v>3.3999999999999998E-3</v>
      </c>
      <c r="L528">
        <v>0.04</v>
      </c>
    </row>
    <row r="529" spans="1:12" x14ac:dyDescent="0.2">
      <c r="A529">
        <v>60</v>
      </c>
      <c r="B529" t="s">
        <v>103</v>
      </c>
      <c r="C529">
        <v>0.2616</v>
      </c>
      <c r="D529">
        <v>12</v>
      </c>
      <c r="E529">
        <v>5.0000000000000001E-3</v>
      </c>
      <c r="F529">
        <v>3.7000000000000002E-3</v>
      </c>
      <c r="G529">
        <v>4.4000000000000003E-3</v>
      </c>
      <c r="H529">
        <v>3.5000000000000001E-3</v>
      </c>
      <c r="I529">
        <v>5.4999999999999997E-3</v>
      </c>
      <c r="J529">
        <v>6.3799999999999996E-2</v>
      </c>
      <c r="K529">
        <v>4.1999999999999997E-3</v>
      </c>
      <c r="L529">
        <v>4.9599999999999998E-2</v>
      </c>
    </row>
    <row r="530" spans="1:12" x14ac:dyDescent="0.2">
      <c r="A530">
        <v>60</v>
      </c>
      <c r="B530" t="s">
        <v>103</v>
      </c>
      <c r="C530">
        <v>0.2616</v>
      </c>
      <c r="D530">
        <v>13</v>
      </c>
      <c r="E530">
        <v>8.0000000000000002E-3</v>
      </c>
      <c r="F530">
        <v>4.5999999999999999E-3</v>
      </c>
      <c r="G530">
        <v>7.0000000000000001E-3</v>
      </c>
      <c r="H530">
        <v>4.3E-3</v>
      </c>
      <c r="I530">
        <v>8.8999999999999999E-3</v>
      </c>
      <c r="J530">
        <v>0.1012</v>
      </c>
      <c r="K530">
        <v>5.3E-3</v>
      </c>
      <c r="L530">
        <v>6.2E-2</v>
      </c>
    </row>
    <row r="531" spans="1:12" x14ac:dyDescent="0.2">
      <c r="A531">
        <v>60</v>
      </c>
      <c r="B531" t="s">
        <v>103</v>
      </c>
      <c r="C531">
        <v>0.2616</v>
      </c>
      <c r="D531">
        <v>14</v>
      </c>
      <c r="E531">
        <v>5.0000000000000001E-3</v>
      </c>
      <c r="F531">
        <v>5.4000000000000003E-3</v>
      </c>
      <c r="G531">
        <v>4.3E-3</v>
      </c>
      <c r="H531">
        <v>5.0000000000000001E-3</v>
      </c>
      <c r="I531">
        <v>5.5999999999999999E-3</v>
      </c>
      <c r="J531">
        <v>6.5299999999999997E-2</v>
      </c>
      <c r="K531">
        <v>6.3E-3</v>
      </c>
      <c r="L531">
        <v>7.3499999999999996E-2</v>
      </c>
    </row>
    <row r="532" spans="1:12" x14ac:dyDescent="0.2">
      <c r="A532">
        <v>60</v>
      </c>
      <c r="B532" t="s">
        <v>103</v>
      </c>
      <c r="C532">
        <v>0.2616</v>
      </c>
      <c r="D532">
        <v>15</v>
      </c>
      <c r="E532">
        <v>7.0000000000000001E-3</v>
      </c>
      <c r="F532">
        <v>6.1999999999999998E-3</v>
      </c>
      <c r="G532">
        <v>6.0000000000000001E-3</v>
      </c>
      <c r="H532">
        <v>5.5999999999999999E-3</v>
      </c>
      <c r="I532">
        <v>7.9000000000000008E-3</v>
      </c>
      <c r="J532">
        <v>9.1300000000000006E-2</v>
      </c>
      <c r="K532">
        <v>7.4000000000000003E-3</v>
      </c>
      <c r="L532">
        <v>8.5099999999999995E-2</v>
      </c>
    </row>
    <row r="533" spans="1:12" x14ac:dyDescent="0.2">
      <c r="A533">
        <v>60</v>
      </c>
      <c r="B533" t="s">
        <v>103</v>
      </c>
      <c r="C533">
        <v>0.2616</v>
      </c>
      <c r="D533">
        <v>16</v>
      </c>
      <c r="E533">
        <v>5.0000000000000001E-3</v>
      </c>
      <c r="F533">
        <v>6.8999999999999999E-3</v>
      </c>
      <c r="G533">
        <v>4.1999999999999997E-3</v>
      </c>
      <c r="H533">
        <v>6.1999999999999998E-3</v>
      </c>
      <c r="I533">
        <v>5.7999999999999996E-3</v>
      </c>
      <c r="J533">
        <v>6.7000000000000004E-2</v>
      </c>
      <c r="K533">
        <v>8.3999999999999995E-3</v>
      </c>
      <c r="L533">
        <v>9.5799999999999996E-2</v>
      </c>
    </row>
    <row r="534" spans="1:12" x14ac:dyDescent="0.2">
      <c r="A534">
        <v>60</v>
      </c>
      <c r="B534" t="s">
        <v>103</v>
      </c>
      <c r="C534">
        <v>0.2616</v>
      </c>
      <c r="D534">
        <v>17</v>
      </c>
      <c r="E534">
        <v>4.0000000000000001E-3</v>
      </c>
      <c r="F534">
        <v>7.6E-3</v>
      </c>
      <c r="G534">
        <v>3.3E-3</v>
      </c>
      <c r="H534">
        <v>6.7999999999999996E-3</v>
      </c>
      <c r="I534">
        <v>4.7000000000000002E-3</v>
      </c>
      <c r="J534">
        <v>5.4699999999999999E-2</v>
      </c>
      <c r="K534">
        <v>9.2999999999999992E-3</v>
      </c>
      <c r="L534">
        <v>0.1065</v>
      </c>
    </row>
    <row r="535" spans="1:12" x14ac:dyDescent="0.2">
      <c r="A535">
        <v>60</v>
      </c>
      <c r="B535" t="s">
        <v>103</v>
      </c>
      <c r="C535">
        <v>0.2616</v>
      </c>
      <c r="D535">
        <v>18</v>
      </c>
      <c r="E535">
        <v>8.9999999999999993E-3</v>
      </c>
      <c r="F535">
        <v>8.0999999999999996E-3</v>
      </c>
      <c r="G535">
        <v>7.4000000000000003E-3</v>
      </c>
      <c r="H535">
        <v>7.1000000000000004E-3</v>
      </c>
      <c r="I535">
        <v>1.0699999999999999E-2</v>
      </c>
      <c r="J535">
        <v>0.1207</v>
      </c>
      <c r="K535">
        <v>1.01E-2</v>
      </c>
      <c r="L535">
        <v>0.1148</v>
      </c>
    </row>
    <row r="536" spans="1:12" x14ac:dyDescent="0.2">
      <c r="A536">
        <v>60</v>
      </c>
      <c r="B536" t="s">
        <v>103</v>
      </c>
      <c r="C536">
        <v>0.2616</v>
      </c>
      <c r="D536">
        <v>19</v>
      </c>
      <c r="E536">
        <v>4.0000000000000001E-3</v>
      </c>
      <c r="F536">
        <v>8.6E-3</v>
      </c>
      <c r="G536">
        <v>3.2000000000000002E-3</v>
      </c>
      <c r="H536">
        <v>7.4999999999999997E-3</v>
      </c>
      <c r="I536">
        <v>4.7999999999999996E-3</v>
      </c>
      <c r="J536">
        <v>5.6500000000000002E-2</v>
      </c>
      <c r="K536">
        <v>1.0999999999999999E-2</v>
      </c>
      <c r="L536">
        <v>0.124</v>
      </c>
    </row>
    <row r="537" spans="1:12" x14ac:dyDescent="0.2">
      <c r="A537">
        <v>60</v>
      </c>
      <c r="B537" t="s">
        <v>103</v>
      </c>
      <c r="C537">
        <v>0.2616</v>
      </c>
      <c r="D537">
        <v>20</v>
      </c>
      <c r="E537">
        <v>8.0000000000000002E-3</v>
      </c>
      <c r="F537">
        <v>8.8999999999999999E-3</v>
      </c>
      <c r="G537">
        <v>6.4000000000000003E-3</v>
      </c>
      <c r="H537">
        <v>7.6E-3</v>
      </c>
      <c r="I537">
        <v>9.7999999999999997E-3</v>
      </c>
      <c r="J537">
        <v>0.1116</v>
      </c>
      <c r="K537">
        <v>1.1599999999999999E-2</v>
      </c>
      <c r="L537">
        <v>0.13020000000000001</v>
      </c>
    </row>
    <row r="538" spans="1:12" x14ac:dyDescent="0.2">
      <c r="A538">
        <v>60</v>
      </c>
      <c r="B538" t="s">
        <v>103</v>
      </c>
      <c r="C538">
        <v>0.2616</v>
      </c>
      <c r="D538">
        <v>21</v>
      </c>
      <c r="E538">
        <v>7.0000000000000001E-3</v>
      </c>
      <c r="F538">
        <v>9.1999999999999998E-3</v>
      </c>
      <c r="G538">
        <v>5.4999999999999997E-3</v>
      </c>
      <c r="H538">
        <v>7.7999999999999996E-3</v>
      </c>
      <c r="I538">
        <v>8.8000000000000005E-3</v>
      </c>
      <c r="J538">
        <v>0.1003</v>
      </c>
      <c r="K538">
        <v>1.2200000000000001E-2</v>
      </c>
      <c r="L538">
        <v>0.13719999999999999</v>
      </c>
    </row>
    <row r="539" spans="1:12" x14ac:dyDescent="0.2">
      <c r="A539">
        <v>60</v>
      </c>
      <c r="B539" t="s">
        <v>103</v>
      </c>
      <c r="C539">
        <v>0.2616</v>
      </c>
      <c r="D539">
        <v>22</v>
      </c>
      <c r="E539">
        <v>5.0000000000000001E-3</v>
      </c>
      <c r="F539">
        <v>9.2999999999999992E-3</v>
      </c>
      <c r="G539">
        <v>3.8999999999999998E-3</v>
      </c>
      <c r="H539">
        <v>7.7000000000000002E-3</v>
      </c>
      <c r="I539">
        <v>6.4000000000000003E-3</v>
      </c>
      <c r="J539">
        <v>7.4099999999999999E-2</v>
      </c>
      <c r="K539">
        <v>1.26E-2</v>
      </c>
      <c r="L539">
        <v>0.14149999999999999</v>
      </c>
    </row>
    <row r="540" spans="1:12" x14ac:dyDescent="0.2">
      <c r="A540">
        <v>60</v>
      </c>
      <c r="B540" t="s">
        <v>103</v>
      </c>
      <c r="C540">
        <v>0.2616</v>
      </c>
      <c r="D540">
        <v>23</v>
      </c>
      <c r="E540">
        <v>6.0000000000000001E-3</v>
      </c>
      <c r="F540">
        <v>9.2999999999999992E-3</v>
      </c>
      <c r="G540">
        <v>4.4999999999999997E-3</v>
      </c>
      <c r="H540">
        <v>7.6E-3</v>
      </c>
      <c r="I540">
        <v>7.7999999999999996E-3</v>
      </c>
      <c r="J540">
        <v>8.9899999999999994E-2</v>
      </c>
      <c r="K540">
        <v>1.29E-2</v>
      </c>
      <c r="L540">
        <v>0.14430000000000001</v>
      </c>
    </row>
    <row r="541" spans="1:12" x14ac:dyDescent="0.2">
      <c r="A541">
        <v>60</v>
      </c>
      <c r="B541" t="s">
        <v>103</v>
      </c>
      <c r="C541">
        <v>0.2616</v>
      </c>
      <c r="D541">
        <v>24</v>
      </c>
      <c r="E541">
        <v>0.01</v>
      </c>
      <c r="F541">
        <v>9.2999999999999992E-3</v>
      </c>
      <c r="G541">
        <v>7.4000000000000003E-3</v>
      </c>
      <c r="H541">
        <v>7.4999999999999997E-3</v>
      </c>
      <c r="I541">
        <v>1.3299999999999999E-2</v>
      </c>
      <c r="J541">
        <v>0.14829999999999999</v>
      </c>
      <c r="K541">
        <v>1.32E-2</v>
      </c>
      <c r="L541">
        <v>0.1474</v>
      </c>
    </row>
    <row r="542" spans="1:12" x14ac:dyDescent="0.2">
      <c r="A542">
        <v>60</v>
      </c>
      <c r="B542" t="s">
        <v>103</v>
      </c>
      <c r="C542">
        <v>0.2616</v>
      </c>
      <c r="D542">
        <v>25</v>
      </c>
      <c r="E542">
        <v>0.01</v>
      </c>
      <c r="F542">
        <v>9.1000000000000004E-3</v>
      </c>
      <c r="G542">
        <v>7.3000000000000001E-3</v>
      </c>
      <c r="H542">
        <v>7.1999999999999998E-3</v>
      </c>
      <c r="I542">
        <v>1.3599999999999999E-2</v>
      </c>
      <c r="J542">
        <v>0.15190000000000001</v>
      </c>
      <c r="K542">
        <v>1.3299999999999999E-2</v>
      </c>
      <c r="L542">
        <v>0.14829999999999999</v>
      </c>
    </row>
    <row r="543" spans="1:12" x14ac:dyDescent="0.2">
      <c r="A543">
        <v>60</v>
      </c>
      <c r="B543" t="s">
        <v>103</v>
      </c>
      <c r="C543">
        <v>0.2616</v>
      </c>
      <c r="D543">
        <v>26</v>
      </c>
      <c r="E543">
        <v>5.0000000000000001E-3</v>
      </c>
      <c r="F543">
        <v>8.8999999999999999E-3</v>
      </c>
      <c r="G543">
        <v>3.5999999999999999E-3</v>
      </c>
      <c r="H543">
        <v>7.0000000000000001E-3</v>
      </c>
      <c r="I543">
        <v>7.0000000000000001E-3</v>
      </c>
      <c r="J543">
        <v>8.09E-2</v>
      </c>
      <c r="K543">
        <v>1.34E-2</v>
      </c>
      <c r="L543">
        <v>0.1492</v>
      </c>
    </row>
    <row r="544" spans="1:12" x14ac:dyDescent="0.2">
      <c r="A544">
        <v>60</v>
      </c>
      <c r="B544" t="s">
        <v>103</v>
      </c>
      <c r="C544">
        <v>0.2616</v>
      </c>
      <c r="D544">
        <v>27</v>
      </c>
      <c r="E544">
        <v>8.9999999999999993E-3</v>
      </c>
      <c r="F544">
        <v>8.6E-3</v>
      </c>
      <c r="G544">
        <v>6.3E-3</v>
      </c>
      <c r="H544">
        <v>6.6E-3</v>
      </c>
      <c r="I544">
        <v>1.29E-2</v>
      </c>
      <c r="J544">
        <v>0.14380000000000001</v>
      </c>
      <c r="K544">
        <v>1.32E-2</v>
      </c>
      <c r="L544">
        <v>0.14760000000000001</v>
      </c>
    </row>
    <row r="545" spans="1:12" x14ac:dyDescent="0.2">
      <c r="A545">
        <v>60</v>
      </c>
      <c r="B545" t="s">
        <v>103</v>
      </c>
      <c r="C545">
        <v>0.2616</v>
      </c>
      <c r="D545">
        <v>28</v>
      </c>
      <c r="E545">
        <v>4.0000000000000001E-3</v>
      </c>
      <c r="F545">
        <v>8.3000000000000001E-3</v>
      </c>
      <c r="G545">
        <v>2.7000000000000001E-3</v>
      </c>
      <c r="H545">
        <v>6.3E-3</v>
      </c>
      <c r="I545">
        <v>5.8999999999999999E-3</v>
      </c>
      <c r="J545">
        <v>6.8099999999999994E-2</v>
      </c>
      <c r="K545">
        <v>1.3100000000000001E-2</v>
      </c>
      <c r="L545">
        <v>0.14660000000000001</v>
      </c>
    </row>
    <row r="546" spans="1:12" x14ac:dyDescent="0.2">
      <c r="A546">
        <v>60</v>
      </c>
      <c r="B546" t="s">
        <v>103</v>
      </c>
      <c r="C546">
        <v>0.2616</v>
      </c>
      <c r="D546">
        <v>29</v>
      </c>
      <c r="E546">
        <v>7.0000000000000001E-3</v>
      </c>
      <c r="F546">
        <v>8.0000000000000002E-3</v>
      </c>
      <c r="G546">
        <v>4.7000000000000002E-3</v>
      </c>
      <c r="H546">
        <v>6.0000000000000001E-3</v>
      </c>
      <c r="I546">
        <v>1.04E-2</v>
      </c>
      <c r="J546">
        <v>0.11840000000000001</v>
      </c>
      <c r="K546">
        <v>1.29E-2</v>
      </c>
      <c r="L546">
        <v>0.14460000000000001</v>
      </c>
    </row>
    <row r="547" spans="1:12" x14ac:dyDescent="0.2">
      <c r="A547">
        <v>60</v>
      </c>
      <c r="B547" t="s">
        <v>103</v>
      </c>
      <c r="C547">
        <v>0.2616</v>
      </c>
      <c r="D547">
        <v>30</v>
      </c>
      <c r="E547">
        <v>4.0000000000000001E-3</v>
      </c>
      <c r="F547">
        <v>7.6E-3</v>
      </c>
      <c r="G547">
        <v>2.5999999999999999E-3</v>
      </c>
      <c r="H547">
        <v>5.4999999999999997E-3</v>
      </c>
      <c r="I547">
        <v>6.1000000000000004E-3</v>
      </c>
      <c r="J547">
        <v>7.0800000000000002E-2</v>
      </c>
      <c r="K547">
        <v>1.26E-2</v>
      </c>
      <c r="L547">
        <v>0.14119999999999999</v>
      </c>
    </row>
    <row r="548" spans="1:12" x14ac:dyDescent="0.2">
      <c r="A548">
        <v>60</v>
      </c>
      <c r="B548" t="s">
        <v>103</v>
      </c>
      <c r="C548">
        <v>0.2616</v>
      </c>
      <c r="D548">
        <v>31</v>
      </c>
      <c r="E548">
        <v>0.01</v>
      </c>
      <c r="F548">
        <v>7.1999999999999998E-3</v>
      </c>
      <c r="G548">
        <v>6.4000000000000003E-3</v>
      </c>
      <c r="H548">
        <v>5.1999999999999998E-3</v>
      </c>
      <c r="I548">
        <v>1.55E-2</v>
      </c>
      <c r="J548">
        <v>0.17130000000000001</v>
      </c>
      <c r="K548">
        <v>1.2200000000000001E-2</v>
      </c>
      <c r="L548">
        <v>0.13700000000000001</v>
      </c>
    </row>
    <row r="549" spans="1:12" x14ac:dyDescent="0.2">
      <c r="A549">
        <v>60</v>
      </c>
      <c r="B549" t="s">
        <v>103</v>
      </c>
      <c r="C549">
        <v>0.2616</v>
      </c>
      <c r="D549">
        <v>32</v>
      </c>
      <c r="E549">
        <v>4.0000000000000001E-3</v>
      </c>
      <c r="F549">
        <v>6.7999999999999996E-3</v>
      </c>
      <c r="G549">
        <v>2.5000000000000001E-3</v>
      </c>
      <c r="H549">
        <v>4.7999999999999996E-3</v>
      </c>
      <c r="I549">
        <v>6.4000000000000003E-3</v>
      </c>
      <c r="J549">
        <v>7.3999999999999996E-2</v>
      </c>
      <c r="K549">
        <v>1.1900000000000001E-2</v>
      </c>
      <c r="L549">
        <v>0.13370000000000001</v>
      </c>
    </row>
    <row r="550" spans="1:12" x14ac:dyDescent="0.2">
      <c r="A550">
        <v>60</v>
      </c>
      <c r="B550" t="s">
        <v>103</v>
      </c>
      <c r="C550">
        <v>0.2616</v>
      </c>
      <c r="D550">
        <v>33</v>
      </c>
      <c r="E550">
        <v>8.0000000000000002E-3</v>
      </c>
      <c r="F550">
        <v>6.4000000000000003E-3</v>
      </c>
      <c r="G550">
        <v>4.8999999999999998E-3</v>
      </c>
      <c r="H550">
        <v>4.4000000000000003E-3</v>
      </c>
      <c r="I550">
        <v>1.2999999999999999E-2</v>
      </c>
      <c r="J550">
        <v>0.14530000000000001</v>
      </c>
      <c r="K550">
        <v>1.14E-2</v>
      </c>
      <c r="L550">
        <v>0.12889999999999999</v>
      </c>
    </row>
    <row r="551" spans="1:12" x14ac:dyDescent="0.2">
      <c r="A551">
        <v>60</v>
      </c>
      <c r="B551" t="s">
        <v>103</v>
      </c>
      <c r="C551">
        <v>0.2616</v>
      </c>
      <c r="D551">
        <v>34</v>
      </c>
      <c r="E551">
        <v>8.9999999999999993E-3</v>
      </c>
      <c r="F551">
        <v>6.0000000000000001E-3</v>
      </c>
      <c r="G551">
        <v>5.3E-3</v>
      </c>
      <c r="H551">
        <v>4.0000000000000001E-3</v>
      </c>
      <c r="I551">
        <v>1.4999999999999999E-2</v>
      </c>
      <c r="J551">
        <v>0.1656</v>
      </c>
      <c r="K551">
        <v>1.0999999999999999E-2</v>
      </c>
      <c r="L551">
        <v>0.1246</v>
      </c>
    </row>
    <row r="552" spans="1:12" x14ac:dyDescent="0.2">
      <c r="A552">
        <v>60</v>
      </c>
      <c r="B552" t="s">
        <v>103</v>
      </c>
      <c r="C552">
        <v>0.2616</v>
      </c>
      <c r="D552">
        <v>35</v>
      </c>
      <c r="E552">
        <v>6.0000000000000001E-3</v>
      </c>
      <c r="F552">
        <v>5.5999999999999999E-3</v>
      </c>
      <c r="G552">
        <v>3.3999999999999998E-3</v>
      </c>
      <c r="H552">
        <v>3.7000000000000002E-3</v>
      </c>
      <c r="I552">
        <v>1.0200000000000001E-2</v>
      </c>
      <c r="J552">
        <v>0.11609999999999999</v>
      </c>
      <c r="K552">
        <v>1.06E-2</v>
      </c>
      <c r="L552">
        <v>0.1201</v>
      </c>
    </row>
    <row r="553" spans="1:12" x14ac:dyDescent="0.2">
      <c r="A553">
        <v>60</v>
      </c>
      <c r="B553" t="s">
        <v>103</v>
      </c>
      <c r="C553">
        <v>0.2616</v>
      </c>
      <c r="D553">
        <v>36</v>
      </c>
      <c r="E553">
        <v>6.0000000000000001E-3</v>
      </c>
      <c r="F553">
        <v>5.1999999999999998E-3</v>
      </c>
      <c r="G553">
        <v>3.3E-3</v>
      </c>
      <c r="H553">
        <v>3.3E-3</v>
      </c>
      <c r="I553">
        <v>1.04E-2</v>
      </c>
      <c r="J553">
        <v>0.11840000000000001</v>
      </c>
      <c r="K553">
        <v>1.01E-2</v>
      </c>
      <c r="L553">
        <v>0.1147</v>
      </c>
    </row>
    <row r="554" spans="1:12" x14ac:dyDescent="0.2">
      <c r="A554">
        <v>60</v>
      </c>
      <c r="B554" t="s">
        <v>103</v>
      </c>
      <c r="C554">
        <v>0.2616</v>
      </c>
      <c r="D554">
        <v>37</v>
      </c>
      <c r="E554">
        <v>7.0000000000000001E-3</v>
      </c>
      <c r="F554">
        <v>4.8999999999999998E-3</v>
      </c>
      <c r="G554">
        <v>3.8E-3</v>
      </c>
      <c r="H554">
        <v>3.0999999999999999E-3</v>
      </c>
      <c r="I554">
        <v>1.24E-2</v>
      </c>
      <c r="J554">
        <v>0.13930000000000001</v>
      </c>
      <c r="K554">
        <v>9.7999999999999997E-3</v>
      </c>
      <c r="L554">
        <v>0.111</v>
      </c>
    </row>
    <row r="555" spans="1:12" x14ac:dyDescent="0.2">
      <c r="A555">
        <v>60</v>
      </c>
      <c r="B555" t="s">
        <v>103</v>
      </c>
      <c r="C555">
        <v>0.2616</v>
      </c>
      <c r="D555">
        <v>38</v>
      </c>
      <c r="E555">
        <v>5.0000000000000001E-3</v>
      </c>
      <c r="F555">
        <v>4.4999999999999997E-3</v>
      </c>
      <c r="G555">
        <v>2.5999999999999999E-3</v>
      </c>
      <c r="H555">
        <v>2.7000000000000001E-3</v>
      </c>
      <c r="I555">
        <v>9.1000000000000004E-3</v>
      </c>
      <c r="J555">
        <v>0.10349999999999999</v>
      </c>
      <c r="K555">
        <v>9.1999999999999998E-3</v>
      </c>
      <c r="L555">
        <v>0.1051</v>
      </c>
    </row>
    <row r="556" spans="1:12" x14ac:dyDescent="0.2">
      <c r="A556">
        <v>60</v>
      </c>
      <c r="B556" t="s">
        <v>103</v>
      </c>
      <c r="C556">
        <v>0.2616</v>
      </c>
      <c r="D556">
        <v>39</v>
      </c>
      <c r="E556">
        <v>4.0000000000000001E-3</v>
      </c>
      <c r="F556">
        <v>4.1999999999999997E-3</v>
      </c>
      <c r="G556">
        <v>2E-3</v>
      </c>
      <c r="H556">
        <v>2.5000000000000001E-3</v>
      </c>
      <c r="I556">
        <v>7.4000000000000003E-3</v>
      </c>
      <c r="J556">
        <v>8.5099999999999995E-2</v>
      </c>
      <c r="K556">
        <v>8.8000000000000005E-3</v>
      </c>
      <c r="L556">
        <v>0.1007</v>
      </c>
    </row>
    <row r="557" spans="1:12" x14ac:dyDescent="0.2">
      <c r="A557">
        <v>60</v>
      </c>
      <c r="B557" t="s">
        <v>103</v>
      </c>
      <c r="C557">
        <v>0.2616</v>
      </c>
      <c r="D557">
        <v>40</v>
      </c>
      <c r="E557">
        <v>8.9999999999999993E-3</v>
      </c>
      <c r="F557">
        <v>3.8E-3</v>
      </c>
      <c r="G557">
        <v>4.3E-3</v>
      </c>
      <c r="H557">
        <v>2.2000000000000001E-3</v>
      </c>
      <c r="I557">
        <v>1.6899999999999998E-2</v>
      </c>
      <c r="J557">
        <v>0.18459999999999999</v>
      </c>
      <c r="K557">
        <v>8.0999999999999996E-3</v>
      </c>
      <c r="L557">
        <v>9.35E-2</v>
      </c>
    </row>
    <row r="558" spans="1:12" x14ac:dyDescent="0.2">
      <c r="A558">
        <v>60</v>
      </c>
      <c r="B558" t="s">
        <v>103</v>
      </c>
      <c r="C558">
        <v>0.2616</v>
      </c>
      <c r="D558">
        <v>41</v>
      </c>
      <c r="E558">
        <v>4.0000000000000001E-3</v>
      </c>
      <c r="F558">
        <v>3.5000000000000001E-3</v>
      </c>
      <c r="G558">
        <v>1.9E-3</v>
      </c>
      <c r="H558">
        <v>1.9E-3</v>
      </c>
      <c r="I558">
        <v>7.7000000000000002E-3</v>
      </c>
      <c r="J558">
        <v>8.8400000000000006E-2</v>
      </c>
      <c r="K558">
        <v>7.7999999999999996E-3</v>
      </c>
      <c r="L558">
        <v>8.9099999999999999E-2</v>
      </c>
    </row>
    <row r="559" spans="1:12" x14ac:dyDescent="0.2">
      <c r="A559">
        <v>60</v>
      </c>
      <c r="B559" t="s">
        <v>103</v>
      </c>
      <c r="C559">
        <v>0.2616</v>
      </c>
      <c r="D559">
        <v>42</v>
      </c>
      <c r="E559">
        <v>8.0000000000000002E-3</v>
      </c>
      <c r="F559">
        <v>3.2000000000000002E-3</v>
      </c>
      <c r="G559">
        <v>3.5000000000000001E-3</v>
      </c>
      <c r="H559">
        <v>1.6999999999999999E-3</v>
      </c>
      <c r="I559">
        <v>1.5599999999999999E-2</v>
      </c>
      <c r="J559">
        <v>0.17180000000000001</v>
      </c>
      <c r="K559">
        <v>7.3000000000000001E-3</v>
      </c>
      <c r="L559">
        <v>8.3599999999999994E-2</v>
      </c>
    </row>
    <row r="560" spans="1:12" x14ac:dyDescent="0.2">
      <c r="A560">
        <v>60</v>
      </c>
      <c r="B560" t="s">
        <v>103</v>
      </c>
      <c r="C560">
        <v>0.2616</v>
      </c>
      <c r="D560">
        <v>43</v>
      </c>
      <c r="E560">
        <v>7.0000000000000001E-3</v>
      </c>
      <c r="F560">
        <v>3.0000000000000001E-3</v>
      </c>
      <c r="G560">
        <v>3.0000000000000001E-3</v>
      </c>
      <c r="H560">
        <v>1.6000000000000001E-3</v>
      </c>
      <c r="I560">
        <v>1.3899999999999999E-2</v>
      </c>
      <c r="J560">
        <v>0.15509999999999999</v>
      </c>
      <c r="K560">
        <v>7.0000000000000001E-3</v>
      </c>
      <c r="L560">
        <v>8.1000000000000003E-2</v>
      </c>
    </row>
    <row r="561" spans="1:12" x14ac:dyDescent="0.2">
      <c r="A561">
        <v>60</v>
      </c>
      <c r="B561" t="s">
        <v>103</v>
      </c>
      <c r="C561">
        <v>0.2616</v>
      </c>
      <c r="D561">
        <v>44</v>
      </c>
      <c r="E561">
        <v>5.0000000000000001E-3</v>
      </c>
      <c r="F561">
        <v>2.7000000000000001E-3</v>
      </c>
      <c r="G561">
        <v>2E-3</v>
      </c>
      <c r="H561">
        <v>1.4E-3</v>
      </c>
      <c r="I561">
        <v>1.0200000000000001E-2</v>
      </c>
      <c r="J561">
        <v>0.1154</v>
      </c>
      <c r="K561">
        <v>6.4999999999999997E-3</v>
      </c>
      <c r="L561">
        <v>7.5399999999999995E-2</v>
      </c>
    </row>
    <row r="562" spans="1:12" x14ac:dyDescent="0.2">
      <c r="A562">
        <v>60</v>
      </c>
      <c r="B562" t="s">
        <v>103</v>
      </c>
      <c r="C562">
        <v>0.2616</v>
      </c>
      <c r="D562">
        <v>45</v>
      </c>
      <c r="E562">
        <v>6.0000000000000001E-3</v>
      </c>
      <c r="F562">
        <v>2.5000000000000001E-3</v>
      </c>
      <c r="G562">
        <v>2.3E-3</v>
      </c>
      <c r="H562">
        <v>1.1999999999999999E-3</v>
      </c>
      <c r="I562">
        <v>1.24E-2</v>
      </c>
      <c r="J562">
        <v>0.1389</v>
      </c>
      <c r="K562">
        <v>6.1999999999999998E-3</v>
      </c>
      <c r="L562">
        <v>7.1900000000000006E-2</v>
      </c>
    </row>
    <row r="563" spans="1:12" x14ac:dyDescent="0.2">
      <c r="A563">
        <v>60</v>
      </c>
      <c r="B563" t="s">
        <v>103</v>
      </c>
      <c r="C563">
        <v>0.2616</v>
      </c>
      <c r="D563">
        <v>46</v>
      </c>
      <c r="E563">
        <v>0.01</v>
      </c>
      <c r="F563">
        <v>2.3E-3</v>
      </c>
      <c r="G563">
        <v>3.5999999999999999E-3</v>
      </c>
      <c r="H563">
        <v>1.1000000000000001E-3</v>
      </c>
      <c r="I563">
        <v>2.1000000000000001E-2</v>
      </c>
      <c r="J563">
        <v>0.22500000000000001</v>
      </c>
      <c r="K563">
        <v>5.8999999999999999E-3</v>
      </c>
      <c r="L563">
        <v>6.83E-2</v>
      </c>
    </row>
    <row r="564" spans="1:12" x14ac:dyDescent="0.2">
      <c r="A564">
        <v>60</v>
      </c>
      <c r="B564" t="s">
        <v>103</v>
      </c>
      <c r="C564">
        <v>0.2616</v>
      </c>
      <c r="D564">
        <v>47</v>
      </c>
      <c r="E564">
        <v>0.01</v>
      </c>
      <c r="F564">
        <v>2.0999999999999999E-3</v>
      </c>
      <c r="G564">
        <v>3.3999999999999998E-3</v>
      </c>
      <c r="H564">
        <v>8.9999999999999998E-4</v>
      </c>
      <c r="I564">
        <v>2.1600000000000001E-2</v>
      </c>
      <c r="J564">
        <v>0.2303</v>
      </c>
      <c r="K564">
        <v>5.5999999999999999E-3</v>
      </c>
      <c r="L564">
        <v>6.5100000000000005E-2</v>
      </c>
    </row>
    <row r="565" spans="1:12" x14ac:dyDescent="0.2">
      <c r="A565">
        <v>60</v>
      </c>
      <c r="B565" t="s">
        <v>103</v>
      </c>
      <c r="C565">
        <v>0.2616</v>
      </c>
      <c r="D565">
        <v>48</v>
      </c>
      <c r="E565">
        <v>5.0000000000000001E-3</v>
      </c>
      <c r="F565">
        <v>1.9E-3</v>
      </c>
      <c r="G565">
        <v>1.6000000000000001E-3</v>
      </c>
      <c r="H565">
        <v>8.0000000000000004E-4</v>
      </c>
      <c r="I565">
        <v>1.11E-2</v>
      </c>
      <c r="J565">
        <v>0.12509999999999999</v>
      </c>
      <c r="K565">
        <v>5.3E-3</v>
      </c>
      <c r="L565">
        <v>6.1600000000000002E-2</v>
      </c>
    </row>
    <row r="566" spans="1:12" x14ac:dyDescent="0.2">
      <c r="A566">
        <v>60</v>
      </c>
      <c r="B566" t="s">
        <v>103</v>
      </c>
      <c r="C566">
        <v>0.2616</v>
      </c>
      <c r="D566">
        <v>49</v>
      </c>
      <c r="E566">
        <v>8.9999999999999993E-3</v>
      </c>
      <c r="F566">
        <v>1.6999999999999999E-3</v>
      </c>
      <c r="G566">
        <v>2.5999999999999999E-3</v>
      </c>
      <c r="H566">
        <v>6.9999999999999999E-4</v>
      </c>
      <c r="I566">
        <v>2.0199999999999999E-2</v>
      </c>
      <c r="J566">
        <v>0.2177</v>
      </c>
      <c r="K566">
        <v>4.8999999999999998E-3</v>
      </c>
      <c r="L566">
        <v>5.7200000000000001E-2</v>
      </c>
    </row>
    <row r="567" spans="1:12" x14ac:dyDescent="0.2">
      <c r="A567">
        <v>60</v>
      </c>
      <c r="B567" t="s">
        <v>103</v>
      </c>
      <c r="C567">
        <v>0.2616</v>
      </c>
      <c r="D567">
        <v>50</v>
      </c>
      <c r="E567">
        <v>4.0000000000000001E-3</v>
      </c>
      <c r="F567">
        <v>1.6000000000000001E-3</v>
      </c>
      <c r="G567">
        <v>1.1000000000000001E-3</v>
      </c>
      <c r="H567">
        <v>5.9999999999999995E-4</v>
      </c>
      <c r="I567">
        <v>9.1999999999999998E-3</v>
      </c>
      <c r="J567">
        <v>0.1052</v>
      </c>
      <c r="K567">
        <v>4.7999999999999996E-3</v>
      </c>
      <c r="L567">
        <v>5.6399999999999999E-2</v>
      </c>
    </row>
    <row r="568" spans="1:12" x14ac:dyDescent="0.2">
      <c r="A568">
        <v>60</v>
      </c>
      <c r="B568" t="s">
        <v>103</v>
      </c>
      <c r="C568">
        <v>0.2616</v>
      </c>
      <c r="D568">
        <v>51</v>
      </c>
      <c r="E568">
        <v>7.0000000000000001E-3</v>
      </c>
      <c r="F568">
        <v>1.4E-3</v>
      </c>
      <c r="G568">
        <v>1.6999999999999999E-3</v>
      </c>
      <c r="H568">
        <v>5.0000000000000001E-4</v>
      </c>
      <c r="I568">
        <v>1.6299999999999999E-2</v>
      </c>
      <c r="J568">
        <v>0.1794</v>
      </c>
      <c r="K568">
        <v>4.4000000000000003E-3</v>
      </c>
      <c r="L568">
        <v>5.1499999999999997E-2</v>
      </c>
    </row>
    <row r="569" spans="1:12" x14ac:dyDescent="0.2">
      <c r="A569">
        <v>60</v>
      </c>
      <c r="B569" t="s">
        <v>103</v>
      </c>
      <c r="C569">
        <v>0.2616</v>
      </c>
      <c r="D569">
        <v>52</v>
      </c>
      <c r="E569">
        <v>4.0000000000000001E-3</v>
      </c>
      <c r="F569">
        <v>1.2999999999999999E-3</v>
      </c>
      <c r="G569">
        <v>8.9999999999999998E-4</v>
      </c>
      <c r="H569">
        <v>4.0000000000000002E-4</v>
      </c>
      <c r="I569">
        <v>9.4999999999999998E-3</v>
      </c>
      <c r="J569">
        <v>0.1085</v>
      </c>
      <c r="K569">
        <v>4.3E-3</v>
      </c>
      <c r="L569">
        <v>5.0299999999999997E-2</v>
      </c>
    </row>
    <row r="570" spans="1:12" x14ac:dyDescent="0.2">
      <c r="A570">
        <v>60</v>
      </c>
      <c r="B570" t="s">
        <v>103</v>
      </c>
      <c r="C570">
        <v>0.2616</v>
      </c>
      <c r="D570">
        <v>53</v>
      </c>
      <c r="E570">
        <v>0.01</v>
      </c>
      <c r="F570">
        <v>1.1999999999999999E-3</v>
      </c>
      <c r="G570">
        <v>1.9E-3</v>
      </c>
      <c r="H570">
        <v>4.0000000000000002E-4</v>
      </c>
      <c r="I570">
        <v>2.41E-2</v>
      </c>
      <c r="J570">
        <v>0.25390000000000001</v>
      </c>
      <c r="K570">
        <v>4.1999999999999997E-3</v>
      </c>
      <c r="L570">
        <v>4.8899999999999999E-2</v>
      </c>
    </row>
    <row r="571" spans="1:12" x14ac:dyDescent="0.2">
      <c r="A571">
        <v>60</v>
      </c>
      <c r="B571" t="s">
        <v>103</v>
      </c>
      <c r="C571">
        <v>0.2616</v>
      </c>
      <c r="D571">
        <v>54</v>
      </c>
      <c r="E571">
        <v>0.01</v>
      </c>
      <c r="F571">
        <v>1.1000000000000001E-3</v>
      </c>
      <c r="G571">
        <v>1.6999999999999999E-3</v>
      </c>
      <c r="H571">
        <v>2.9999999999999997E-4</v>
      </c>
      <c r="I571">
        <v>2.4799999999999999E-2</v>
      </c>
      <c r="J571">
        <v>0.26</v>
      </c>
      <c r="K571">
        <v>4.1000000000000003E-3</v>
      </c>
      <c r="L571">
        <v>4.82E-2</v>
      </c>
    </row>
    <row r="572" spans="1:12" x14ac:dyDescent="0.2">
      <c r="A572">
        <v>60</v>
      </c>
      <c r="B572" t="s">
        <v>103</v>
      </c>
      <c r="C572">
        <v>0.2616</v>
      </c>
      <c r="D572">
        <v>55</v>
      </c>
      <c r="E572">
        <v>5.0000000000000001E-3</v>
      </c>
      <c r="F572">
        <v>1E-3</v>
      </c>
      <c r="G572">
        <v>6.9999999999999999E-4</v>
      </c>
      <c r="H572">
        <v>2.9999999999999997E-4</v>
      </c>
      <c r="I572">
        <v>1.2699999999999999E-2</v>
      </c>
      <c r="J572">
        <v>0.1426</v>
      </c>
      <c r="K572">
        <v>4.1000000000000003E-3</v>
      </c>
      <c r="L572">
        <v>4.7800000000000002E-2</v>
      </c>
    </row>
    <row r="573" spans="1:12" x14ac:dyDescent="0.2">
      <c r="A573">
        <v>60</v>
      </c>
      <c r="B573" t="s">
        <v>103</v>
      </c>
      <c r="C573">
        <v>0.2616</v>
      </c>
      <c r="D573">
        <v>56</v>
      </c>
      <c r="E573">
        <v>8.9999999999999993E-3</v>
      </c>
      <c r="F573">
        <v>8.9999999999999998E-4</v>
      </c>
      <c r="G573">
        <v>1E-3</v>
      </c>
      <c r="H573">
        <v>2.0000000000000001E-4</v>
      </c>
      <c r="I573">
        <v>2.3300000000000001E-2</v>
      </c>
      <c r="J573">
        <v>0.24610000000000001</v>
      </c>
      <c r="K573">
        <v>4.0000000000000001E-3</v>
      </c>
      <c r="L573">
        <v>4.7199999999999999E-2</v>
      </c>
    </row>
    <row r="574" spans="1:12" x14ac:dyDescent="0.2">
      <c r="A574">
        <v>60</v>
      </c>
      <c r="B574" t="s">
        <v>103</v>
      </c>
      <c r="C574">
        <v>0.2616</v>
      </c>
      <c r="D574">
        <v>57</v>
      </c>
      <c r="E574">
        <v>4.0000000000000001E-3</v>
      </c>
      <c r="F574">
        <v>8.0000000000000004E-4</v>
      </c>
      <c r="G574">
        <v>2.9999999999999997E-4</v>
      </c>
      <c r="H574">
        <v>2.0000000000000001E-4</v>
      </c>
      <c r="I574">
        <v>1.06E-2</v>
      </c>
      <c r="J574">
        <v>0.1201</v>
      </c>
      <c r="K574">
        <v>4.1000000000000003E-3</v>
      </c>
      <c r="L574">
        <v>4.7800000000000002E-2</v>
      </c>
    </row>
    <row r="575" spans="1:12" x14ac:dyDescent="0.2">
      <c r="A575">
        <v>60</v>
      </c>
      <c r="B575" t="s">
        <v>103</v>
      </c>
      <c r="C575">
        <v>0.2616</v>
      </c>
      <c r="D575">
        <v>58</v>
      </c>
      <c r="E575">
        <v>7.0000000000000001E-3</v>
      </c>
      <c r="F575">
        <v>6.9999999999999999E-4</v>
      </c>
      <c r="G575">
        <v>4.0000000000000002E-4</v>
      </c>
      <c r="H575">
        <v>1E-4</v>
      </c>
      <c r="I575">
        <v>1.8800000000000001E-2</v>
      </c>
      <c r="J575">
        <v>0.2034</v>
      </c>
      <c r="K575">
        <v>4.1999999999999997E-3</v>
      </c>
      <c r="L575">
        <v>4.9299999999999997E-2</v>
      </c>
    </row>
    <row r="576" spans="1:12" x14ac:dyDescent="0.2">
      <c r="A576">
        <v>60</v>
      </c>
      <c r="B576" t="s">
        <v>103</v>
      </c>
      <c r="C576">
        <v>0.2616</v>
      </c>
      <c r="D576">
        <v>59</v>
      </c>
      <c r="E576">
        <v>4.0000000000000001E-3</v>
      </c>
      <c r="F576">
        <v>5.9999999999999995E-4</v>
      </c>
      <c r="G576">
        <v>1E-4</v>
      </c>
      <c r="H576">
        <v>1E-4</v>
      </c>
      <c r="I576">
        <v>1.09E-2</v>
      </c>
      <c r="J576">
        <v>0.1234</v>
      </c>
      <c r="K576">
        <v>4.7000000000000002E-3</v>
      </c>
      <c r="L576">
        <v>5.5300000000000002E-2</v>
      </c>
    </row>
    <row r="577" spans="1:12" x14ac:dyDescent="0.2">
      <c r="A577">
        <v>60</v>
      </c>
      <c r="B577" t="s">
        <v>103</v>
      </c>
      <c r="C577">
        <v>0.2616</v>
      </c>
      <c r="D577">
        <v>60</v>
      </c>
      <c r="E577">
        <v>0.01</v>
      </c>
      <c r="F577">
        <v>5.9999999999999995E-4</v>
      </c>
      <c r="G577">
        <v>0</v>
      </c>
      <c r="H577">
        <v>1E-4</v>
      </c>
      <c r="I577">
        <v>0</v>
      </c>
      <c r="J577">
        <v>0</v>
      </c>
      <c r="K577">
        <v>8.0000000000000002E-3</v>
      </c>
      <c r="L577">
        <v>9.1700000000000004E-2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B3:J39"/>
  <sheetViews>
    <sheetView topLeftCell="A3" workbookViewId="0">
      <selection activeCell="D11" sqref="D11"/>
    </sheetView>
  </sheetViews>
  <sheetFormatPr baseColWidth="10" defaultRowHeight="16" x14ac:dyDescent="0.2"/>
  <sheetData>
    <row r="3" spans="2:10" x14ac:dyDescent="0.2">
      <c r="B3" t="s">
        <v>7</v>
      </c>
      <c r="C3" t="s">
        <v>8</v>
      </c>
      <c r="D3" t="s">
        <v>47</v>
      </c>
      <c r="E3" t="s">
        <v>49</v>
      </c>
      <c r="H3" t="s">
        <v>7</v>
      </c>
      <c r="I3" t="s">
        <v>49</v>
      </c>
      <c r="J3" t="s">
        <v>49</v>
      </c>
    </row>
    <row r="4" spans="2:10" x14ac:dyDescent="0.2">
      <c r="B4">
        <v>1</v>
      </c>
      <c r="C4">
        <v>0</v>
      </c>
      <c r="D4">
        <v>0</v>
      </c>
      <c r="E4">
        <v>0</v>
      </c>
      <c r="H4">
        <v>1</v>
      </c>
      <c r="I4">
        <v>0</v>
      </c>
      <c r="J4">
        <v>0</v>
      </c>
    </row>
    <row r="5" spans="2:10" x14ac:dyDescent="0.2">
      <c r="B5">
        <v>2</v>
      </c>
      <c r="C5">
        <v>0</v>
      </c>
      <c r="D5">
        <v>0</v>
      </c>
      <c r="E5">
        <v>0</v>
      </c>
      <c r="H5">
        <v>2</v>
      </c>
      <c r="I5">
        <v>0</v>
      </c>
      <c r="J5">
        <v>0</v>
      </c>
    </row>
    <row r="6" spans="2:10" x14ac:dyDescent="0.2">
      <c r="B6">
        <v>3</v>
      </c>
      <c r="C6">
        <v>1.8E-3</v>
      </c>
      <c r="D6">
        <v>1.8E-3</v>
      </c>
      <c r="E6">
        <v>2.2800000000000001E-2</v>
      </c>
      <c r="H6">
        <v>3</v>
      </c>
      <c r="I6">
        <v>2.2800000000000001E-2</v>
      </c>
      <c r="J6">
        <v>2.2809111822014727E-2</v>
      </c>
    </row>
    <row r="7" spans="2:10" x14ac:dyDescent="0.2">
      <c r="B7">
        <v>4</v>
      </c>
      <c r="C7">
        <v>2.8E-3</v>
      </c>
      <c r="D7">
        <v>2.8E-3</v>
      </c>
      <c r="E7">
        <v>3.6400000000000002E-2</v>
      </c>
      <c r="H7">
        <v>4</v>
      </c>
      <c r="I7">
        <v>3.6400000000000002E-2</v>
      </c>
      <c r="J7">
        <v>3.6424074693596542E-2</v>
      </c>
    </row>
    <row r="8" spans="2:10" x14ac:dyDescent="0.2">
      <c r="B8">
        <v>5</v>
      </c>
      <c r="C8">
        <v>3.0000000000000001E-3</v>
      </c>
      <c r="D8">
        <v>3.0000000000000001E-3</v>
      </c>
      <c r="E8">
        <v>4.0500000000000001E-2</v>
      </c>
      <c r="H8">
        <v>5</v>
      </c>
      <c r="I8">
        <v>4.0500000000000001E-2</v>
      </c>
      <c r="J8">
        <v>4.0452654570203528E-2</v>
      </c>
    </row>
    <row r="9" spans="2:10" x14ac:dyDescent="0.2">
      <c r="B9">
        <v>6</v>
      </c>
      <c r="C9">
        <v>3.0000000000000001E-3</v>
      </c>
      <c r="D9">
        <v>2.8999999999999998E-3</v>
      </c>
      <c r="E9">
        <v>4.0899999999999999E-2</v>
      </c>
      <c r="H9">
        <v>6</v>
      </c>
      <c r="I9">
        <v>4.0899999999999999E-2</v>
      </c>
      <c r="J9">
        <v>4.0883536194289749E-2</v>
      </c>
    </row>
    <row r="10" spans="2:10" x14ac:dyDescent="0.2">
      <c r="B10">
        <v>7</v>
      </c>
      <c r="C10">
        <v>2.8E-3</v>
      </c>
      <c r="D10">
        <v>2.7000000000000001E-3</v>
      </c>
      <c r="E10">
        <v>3.8899999999999997E-2</v>
      </c>
      <c r="H10">
        <v>7</v>
      </c>
      <c r="I10">
        <v>3.8899999999999997E-2</v>
      </c>
      <c r="J10">
        <v>3.8864260975357556E-2</v>
      </c>
    </row>
    <row r="11" spans="2:10" x14ac:dyDescent="0.2">
      <c r="B11">
        <v>8</v>
      </c>
      <c r="C11">
        <v>2.7000000000000001E-3</v>
      </c>
      <c r="D11">
        <v>2.5000000000000001E-3</v>
      </c>
      <c r="E11">
        <v>3.7900000000000003E-2</v>
      </c>
      <c r="H11">
        <v>8</v>
      </c>
      <c r="I11">
        <v>3.7900000000000003E-2</v>
      </c>
      <c r="J11">
        <v>3.7916321251303731E-2</v>
      </c>
    </row>
    <row r="12" spans="2:10" x14ac:dyDescent="0.2">
      <c r="B12">
        <v>9</v>
      </c>
      <c r="C12">
        <v>2.5000000000000001E-3</v>
      </c>
      <c r="D12">
        <v>2.2000000000000001E-3</v>
      </c>
      <c r="E12">
        <v>3.5700000000000003E-2</v>
      </c>
      <c r="H12">
        <v>9</v>
      </c>
      <c r="I12">
        <v>3.5700000000000003E-2</v>
      </c>
      <c r="J12">
        <v>3.570149978681092E-2</v>
      </c>
    </row>
    <row r="13" spans="2:10" x14ac:dyDescent="0.2">
      <c r="B13">
        <v>10</v>
      </c>
      <c r="C13">
        <v>2.3999999999999998E-3</v>
      </c>
      <c r="D13">
        <v>2.0999999999999999E-3</v>
      </c>
      <c r="E13">
        <v>3.49E-2</v>
      </c>
      <c r="H13">
        <v>10</v>
      </c>
      <c r="I13">
        <v>3.49E-2</v>
      </c>
      <c r="J13">
        <v>3.4875180643674564E-2</v>
      </c>
    </row>
    <row r="14" spans="2:10" x14ac:dyDescent="0.2">
      <c r="B14">
        <v>11</v>
      </c>
      <c r="C14">
        <v>2.2000000000000001E-3</v>
      </c>
      <c r="D14">
        <v>1.9E-3</v>
      </c>
      <c r="E14">
        <v>3.2500000000000001E-2</v>
      </c>
      <c r="H14">
        <v>11</v>
      </c>
      <c r="I14">
        <v>3.2500000000000001E-2</v>
      </c>
      <c r="J14">
        <v>3.2460091054571483E-2</v>
      </c>
    </row>
    <row r="15" spans="2:10" x14ac:dyDescent="0.2">
      <c r="B15">
        <v>12</v>
      </c>
      <c r="C15">
        <v>2.0999999999999999E-3</v>
      </c>
      <c r="D15">
        <v>1.6999999999999999E-3</v>
      </c>
      <c r="E15">
        <v>3.1399999999999997E-2</v>
      </c>
      <c r="H15">
        <v>12</v>
      </c>
      <c r="I15">
        <v>3.1399999999999997E-2</v>
      </c>
      <c r="J15">
        <v>3.1446748597122709E-2</v>
      </c>
    </row>
    <row r="16" spans="2:10" x14ac:dyDescent="0.2">
      <c r="B16">
        <v>13</v>
      </c>
      <c r="C16">
        <v>2E-3</v>
      </c>
      <c r="D16">
        <v>1.6000000000000001E-3</v>
      </c>
      <c r="E16">
        <v>3.04E-2</v>
      </c>
      <c r="H16">
        <v>13</v>
      </c>
      <c r="I16">
        <v>3.04E-2</v>
      </c>
      <c r="J16">
        <v>3.044139329629969E-2</v>
      </c>
    </row>
    <row r="17" spans="2:10" x14ac:dyDescent="0.2">
      <c r="B17">
        <v>14</v>
      </c>
      <c r="C17">
        <v>1.9E-3</v>
      </c>
      <c r="D17">
        <v>1.5E-3</v>
      </c>
      <c r="E17">
        <v>2.93E-2</v>
      </c>
      <c r="H17">
        <v>14</v>
      </c>
      <c r="I17">
        <v>2.93E-2</v>
      </c>
      <c r="J17">
        <v>2.9342958531369923E-2</v>
      </c>
    </row>
    <row r="18" spans="2:10" x14ac:dyDescent="0.2">
      <c r="B18">
        <v>15</v>
      </c>
      <c r="C18">
        <v>1.8E-3</v>
      </c>
      <c r="D18">
        <v>1.2999999999999999E-3</v>
      </c>
      <c r="E18">
        <v>2.8199999999999999E-2</v>
      </c>
      <c r="H18">
        <v>15</v>
      </c>
      <c r="I18">
        <v>2.8199999999999999E-2</v>
      </c>
      <c r="J18">
        <v>2.8187841381144385E-2</v>
      </c>
    </row>
    <row r="19" spans="2:10" x14ac:dyDescent="0.2">
      <c r="B19">
        <v>16</v>
      </c>
      <c r="C19">
        <v>1.6999999999999999E-3</v>
      </c>
      <c r="D19">
        <v>1.1999999999999999E-3</v>
      </c>
      <c r="E19">
        <v>2.7199999999999998E-2</v>
      </c>
      <c r="H19">
        <v>16</v>
      </c>
      <c r="I19">
        <v>2.7199999999999998E-2</v>
      </c>
      <c r="J19">
        <v>2.7161737649458395E-2</v>
      </c>
    </row>
    <row r="20" spans="2:10" x14ac:dyDescent="0.2">
      <c r="B20">
        <v>17</v>
      </c>
      <c r="C20">
        <v>1.6000000000000001E-3</v>
      </c>
      <c r="D20">
        <v>1.1000000000000001E-3</v>
      </c>
      <c r="E20">
        <v>2.5999999999999999E-2</v>
      </c>
      <c r="H20">
        <v>17</v>
      </c>
      <c r="I20">
        <v>2.5999999999999999E-2</v>
      </c>
      <c r="J20">
        <v>2.5952432878911025E-2</v>
      </c>
    </row>
    <row r="21" spans="2:10" x14ac:dyDescent="0.2">
      <c r="B21">
        <v>18</v>
      </c>
      <c r="C21">
        <v>1.5E-3</v>
      </c>
      <c r="D21">
        <v>1E-3</v>
      </c>
      <c r="E21">
        <v>2.4799999999999999E-2</v>
      </c>
      <c r="H21">
        <v>18</v>
      </c>
      <c r="I21">
        <v>2.4799999999999999E-2</v>
      </c>
      <c r="J21">
        <v>2.4831372631713089E-2</v>
      </c>
    </row>
    <row r="22" spans="2:10" x14ac:dyDescent="0.2">
      <c r="B22">
        <v>19</v>
      </c>
      <c r="C22">
        <v>1.4E-3</v>
      </c>
      <c r="D22">
        <v>8.9999999999999998E-4</v>
      </c>
      <c r="E22">
        <v>2.3599999999999999E-2</v>
      </c>
      <c r="H22">
        <v>19</v>
      </c>
      <c r="I22">
        <v>2.3599999999999999E-2</v>
      </c>
      <c r="J22">
        <v>2.3646850448283518E-2</v>
      </c>
    </row>
    <row r="23" spans="2:10" x14ac:dyDescent="0.2">
      <c r="B23">
        <v>20</v>
      </c>
      <c r="C23">
        <v>1.4E-3</v>
      </c>
      <c r="D23">
        <v>8.9999999999999998E-4</v>
      </c>
      <c r="E23">
        <v>2.41E-2</v>
      </c>
      <c r="H23">
        <v>20</v>
      </c>
      <c r="I23">
        <v>2.41E-2</v>
      </c>
      <c r="J23">
        <v>2.4075731619202956E-2</v>
      </c>
    </row>
    <row r="24" spans="2:10" x14ac:dyDescent="0.2">
      <c r="B24">
        <v>21</v>
      </c>
      <c r="C24">
        <v>1.2999999999999999E-3</v>
      </c>
      <c r="D24">
        <v>8.0000000000000004E-4</v>
      </c>
      <c r="E24">
        <v>2.2800000000000001E-2</v>
      </c>
      <c r="H24">
        <v>21</v>
      </c>
      <c r="I24">
        <v>2.2800000000000001E-2</v>
      </c>
      <c r="J24">
        <v>2.2835581184043829E-2</v>
      </c>
    </row>
    <row r="25" spans="2:10" x14ac:dyDescent="0.2">
      <c r="B25">
        <v>22</v>
      </c>
      <c r="C25">
        <v>1.1999999999999999E-3</v>
      </c>
      <c r="D25">
        <v>6.9999999999999999E-4</v>
      </c>
      <c r="E25">
        <v>2.1700000000000001E-2</v>
      </c>
      <c r="H25">
        <v>22</v>
      </c>
      <c r="I25">
        <v>2.1700000000000001E-2</v>
      </c>
      <c r="J25">
        <v>2.1664284872471073E-2</v>
      </c>
    </row>
    <row r="26" spans="2:10" x14ac:dyDescent="0.2">
      <c r="B26">
        <v>23</v>
      </c>
      <c r="C26">
        <v>1.1999999999999999E-3</v>
      </c>
      <c r="D26">
        <v>5.9999999999999995E-4</v>
      </c>
      <c r="E26">
        <v>2.23E-2</v>
      </c>
      <c r="H26">
        <v>23</v>
      </c>
      <c r="I26">
        <v>2.23E-2</v>
      </c>
      <c r="J26">
        <v>2.22856408346912E-2</v>
      </c>
    </row>
    <row r="27" spans="2:10" x14ac:dyDescent="0.2">
      <c r="B27">
        <v>24</v>
      </c>
      <c r="C27">
        <v>1.1000000000000001E-3</v>
      </c>
      <c r="D27">
        <v>5.0000000000000001E-4</v>
      </c>
      <c r="E27">
        <v>2.0899999999999998E-2</v>
      </c>
      <c r="H27">
        <v>24</v>
      </c>
      <c r="I27">
        <v>2.0899999999999998E-2</v>
      </c>
      <c r="J27">
        <v>2.0949796684944899E-2</v>
      </c>
    </row>
    <row r="28" spans="2:10" x14ac:dyDescent="0.2">
      <c r="B28">
        <v>25</v>
      </c>
      <c r="C28">
        <v>1.1000000000000001E-3</v>
      </c>
      <c r="D28">
        <v>5.0000000000000001E-4</v>
      </c>
      <c r="E28">
        <v>2.1600000000000001E-2</v>
      </c>
      <c r="H28">
        <v>25</v>
      </c>
      <c r="I28">
        <v>2.1600000000000001E-2</v>
      </c>
      <c r="J28">
        <v>2.1623448212493179E-2</v>
      </c>
    </row>
    <row r="29" spans="2:10" x14ac:dyDescent="0.2">
      <c r="B29">
        <v>26</v>
      </c>
      <c r="C29">
        <v>1E-3</v>
      </c>
      <c r="D29">
        <v>4.0000000000000002E-4</v>
      </c>
      <c r="E29">
        <v>2.0199999999999999E-2</v>
      </c>
      <c r="H29">
        <v>26</v>
      </c>
      <c r="I29">
        <v>2.0199999999999999E-2</v>
      </c>
      <c r="J29">
        <v>2.0246137793160535E-2</v>
      </c>
    </row>
    <row r="30" spans="2:10" x14ac:dyDescent="0.2">
      <c r="B30">
        <v>27</v>
      </c>
      <c r="C30">
        <v>1E-3</v>
      </c>
      <c r="D30">
        <v>4.0000000000000002E-4</v>
      </c>
      <c r="E30">
        <v>2.1000000000000001E-2</v>
      </c>
      <c r="H30">
        <v>27</v>
      </c>
      <c r="I30">
        <v>2.1000000000000001E-2</v>
      </c>
      <c r="J30">
        <v>2.0989225129017353E-2</v>
      </c>
    </row>
    <row r="31" spans="2:10" x14ac:dyDescent="0.2">
      <c r="B31">
        <v>28</v>
      </c>
      <c r="C31">
        <v>8.9999999999999998E-4</v>
      </c>
      <c r="D31">
        <v>2.9999999999999997E-4</v>
      </c>
      <c r="E31">
        <v>1.9599999999999999E-2</v>
      </c>
      <c r="H31">
        <v>28</v>
      </c>
      <c r="I31">
        <v>1.9599999999999999E-2</v>
      </c>
      <c r="J31">
        <v>1.962616146311924E-2</v>
      </c>
    </row>
    <row r="32" spans="2:10" x14ac:dyDescent="0.2">
      <c r="B32">
        <v>29</v>
      </c>
      <c r="C32">
        <v>8.9999999999999998E-4</v>
      </c>
      <c r="D32">
        <v>2.9999999999999997E-4</v>
      </c>
      <c r="E32">
        <v>2.07E-2</v>
      </c>
      <c r="H32">
        <v>29</v>
      </c>
      <c r="I32">
        <v>2.07E-2</v>
      </c>
      <c r="J32">
        <v>2.0657622152284172E-2</v>
      </c>
    </row>
    <row r="33" spans="2:10" x14ac:dyDescent="0.2">
      <c r="B33">
        <v>30</v>
      </c>
      <c r="C33">
        <v>8.9999999999999998E-4</v>
      </c>
      <c r="D33">
        <v>2.9999999999999997E-4</v>
      </c>
      <c r="E33">
        <v>2.1899999999999999E-2</v>
      </c>
      <c r="H33">
        <v>30</v>
      </c>
      <c r="I33">
        <v>2.1899999999999999E-2</v>
      </c>
      <c r="J33">
        <v>2.1936424733484561E-2</v>
      </c>
    </row>
    <row r="34" spans="2:10" x14ac:dyDescent="0.2">
      <c r="B34">
        <v>31</v>
      </c>
      <c r="C34">
        <v>8.0000000000000004E-4</v>
      </c>
      <c r="D34">
        <v>2.0000000000000001E-4</v>
      </c>
      <c r="E34">
        <v>2.0899999999999998E-2</v>
      </c>
      <c r="H34">
        <v>31</v>
      </c>
      <c r="I34">
        <v>2.0899999999999998E-2</v>
      </c>
      <c r="J34">
        <v>2.0850348993635248E-2</v>
      </c>
    </row>
    <row r="35" spans="2:10" x14ac:dyDescent="0.2">
      <c r="B35">
        <v>32</v>
      </c>
      <c r="C35">
        <v>8.0000000000000004E-4</v>
      </c>
      <c r="D35">
        <v>2.0000000000000001E-4</v>
      </c>
      <c r="E35">
        <v>2.2800000000000001E-2</v>
      </c>
      <c r="H35">
        <v>32</v>
      </c>
      <c r="I35">
        <v>2.2800000000000001E-2</v>
      </c>
      <c r="J35">
        <v>2.2788363345069618E-2</v>
      </c>
    </row>
    <row r="36" spans="2:10" x14ac:dyDescent="0.2">
      <c r="B36">
        <v>33</v>
      </c>
      <c r="C36">
        <v>8.0000000000000004E-4</v>
      </c>
      <c r="D36">
        <v>2.0000000000000001E-4</v>
      </c>
      <c r="E36">
        <v>2.5399999999999999E-2</v>
      </c>
      <c r="H36">
        <v>33</v>
      </c>
      <c r="I36">
        <v>2.5399999999999999E-2</v>
      </c>
      <c r="J36">
        <v>2.5442826403798136E-2</v>
      </c>
    </row>
    <row r="37" spans="2:10" x14ac:dyDescent="0.2">
      <c r="B37">
        <v>34</v>
      </c>
      <c r="C37">
        <v>6.9999999999999999E-4</v>
      </c>
      <c r="D37">
        <v>1E-4</v>
      </c>
      <c r="E37">
        <v>2.6200000000000001E-2</v>
      </c>
      <c r="H37">
        <v>34</v>
      </c>
      <c r="I37">
        <v>2.6200000000000001E-2</v>
      </c>
      <c r="J37">
        <v>2.6231707702748186E-2</v>
      </c>
    </row>
    <row r="38" spans="2:10" x14ac:dyDescent="0.2">
      <c r="B38">
        <v>35</v>
      </c>
      <c r="C38">
        <v>6.9999999999999999E-4</v>
      </c>
      <c r="D38">
        <v>1E-4</v>
      </c>
      <c r="E38">
        <v>3.3799999999999997E-2</v>
      </c>
      <c r="H38">
        <v>35</v>
      </c>
      <c r="I38">
        <v>3.3799999999999997E-2</v>
      </c>
      <c r="J38">
        <v>3.3807911404105551E-2</v>
      </c>
    </row>
    <row r="39" spans="2:10" x14ac:dyDescent="0.2">
      <c r="B39">
        <v>36</v>
      </c>
      <c r="C39">
        <v>6.9999999999999999E-4</v>
      </c>
      <c r="D39">
        <v>1E-4</v>
      </c>
      <c r="E39">
        <v>5.6500000000000002E-2</v>
      </c>
      <c r="H39">
        <v>36</v>
      </c>
      <c r="I39">
        <v>5.6500000000000002E-2</v>
      </c>
      <c r="J39">
        <v>5.6546450860217701E-2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data rates</vt:lpstr>
      <vt:lpstr>data estimates</vt:lpstr>
      <vt:lpstr>Portfolio</vt:lpstr>
      <vt:lpstr>Conditional Rates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2017-10-08T18:18:30Z</dcterms:created>
  <dcterms:modified xsi:type="dcterms:W3CDTF">2017-12-30T03:36:46Z</dcterms:modified>
</cp:coreProperties>
</file>